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hidePivotFieldList="1" defaultThemeVersion="166925"/>
  <mc:AlternateContent xmlns:mc="http://schemas.openxmlformats.org/markup-compatibility/2006">
    <mc:Choice Requires="x15">
      <x15ac:absPath xmlns:x15ac="http://schemas.microsoft.com/office/spreadsheetml/2010/11/ac" url="C:\Users\khali\OneDrive\Desktop\Excel ders\"/>
    </mc:Choice>
  </mc:AlternateContent>
  <xr:revisionPtr revIDLastSave="0" documentId="13_ncr:1_{9CD7BF79-7078-450E-B9FD-773D66C52635}" xr6:coauthVersionLast="47" xr6:coauthVersionMax="47" xr10:uidLastSave="{00000000-0000-0000-0000-000000000000}"/>
  <bookViews>
    <workbookView xWindow="-108" yWindow="-108" windowWidth="23256" windowHeight="12456" tabRatio="707" xr2:uid="{00000000-000D-0000-FFFF-FFFF00000000}"/>
  </bookViews>
  <sheets>
    <sheet name="Task" sheetId="4" r:id="rId1"/>
    <sheet name="Final image - KPI" sheetId="2" r:id="rId2"/>
    <sheet name="Sheet1" sheetId="5" r:id="rId3"/>
    <sheet name="Sheet2" sheetId="6" r:id="rId4"/>
    <sheet name="HR Data" sheetId="1" r:id="rId5"/>
    <sheet name="KPI" sheetId="3" r:id="rId6"/>
  </sheets>
  <externalReferences>
    <externalReference r:id="rId7"/>
  </externalReferences>
  <definedNames>
    <definedName name="dept_num">#REF!</definedName>
    <definedName name="emp_num">[1]Operations!$A$2</definedName>
    <definedName name="empl_num">#REF!</definedName>
    <definedName name="ishci_sayi">#REF!</definedName>
    <definedName name="NativeTimeline_Hire_Date">#N/A</definedName>
    <definedName name="Slicer_Department">#N/A</definedName>
    <definedName name="Slicer_Performance_Score">#N/A</definedName>
    <definedName name="Slicer_Salary">#N/A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7" i="1" l="1"/>
  <c r="L5" i="1"/>
  <c r="K5" i="1"/>
  <c r="J5" i="1"/>
  <c r="J4" i="1"/>
  <c r="J3" i="1"/>
  <c r="L3" i="1"/>
  <c r="K3" i="1"/>
  <c r="J83" i="1"/>
  <c r="E3" i="6"/>
  <c r="F3" i="6"/>
  <c r="E4" i="6"/>
  <c r="F4" i="6"/>
  <c r="E5" i="6"/>
  <c r="F5" i="6"/>
  <c r="E6" i="6"/>
  <c r="F6" i="6"/>
  <c r="E7" i="6"/>
  <c r="F7" i="6"/>
  <c r="E8" i="6"/>
  <c r="F8" i="6"/>
  <c r="E9" i="6"/>
  <c r="F9" i="6"/>
  <c r="E10" i="6"/>
  <c r="F10" i="6"/>
  <c r="A16" i="5"/>
  <c r="H2" i="6" l="1"/>
  <c r="G7" i="6" s="1"/>
  <c r="G4" i="6" l="1"/>
  <c r="G5" i="6"/>
  <c r="G8" i="6"/>
  <c r="G6" i="6"/>
  <c r="G9" i="6"/>
</calcChain>
</file>

<file path=xl/sharedStrings.xml><?xml version="1.0" encoding="utf-8"?>
<sst xmlns="http://schemas.openxmlformats.org/spreadsheetml/2006/main" count="263" uniqueCount="145">
  <si>
    <t>Full Name</t>
  </si>
  <si>
    <t>Hire Date</t>
  </si>
  <si>
    <t>Salary</t>
  </si>
  <si>
    <t>Bonus</t>
  </si>
  <si>
    <t>Overtime</t>
  </si>
  <si>
    <t>Department</t>
  </si>
  <si>
    <t>Sick Days</t>
  </si>
  <si>
    <t>Performance Score</t>
  </si>
  <si>
    <t>Asher Benson</t>
  </si>
  <si>
    <t>Accounting</t>
  </si>
  <si>
    <t>Hu Frost</t>
  </si>
  <si>
    <t>Sales</t>
  </si>
  <si>
    <t>Gabriel Ayala</t>
  </si>
  <si>
    <t>IT</t>
  </si>
  <si>
    <t>Damian Silva</t>
  </si>
  <si>
    <t>Human Resources</t>
  </si>
  <si>
    <t>Deacon Whitaker</t>
  </si>
  <si>
    <t>Ralph Alvarez</t>
  </si>
  <si>
    <t>Sean Stark</t>
  </si>
  <si>
    <t>Clayton Cotton</t>
  </si>
  <si>
    <t>Customer Support</t>
  </si>
  <si>
    <t>Gareth Wyatt</t>
  </si>
  <si>
    <t>Melvin Pickett</t>
  </si>
  <si>
    <t>Porter Le</t>
  </si>
  <si>
    <t>Ishmael Grimes</t>
  </si>
  <si>
    <t>Marvin Velasquez</t>
  </si>
  <si>
    <t>Lamar Howard</t>
  </si>
  <si>
    <t>Administration</t>
  </si>
  <si>
    <t>Hyatt Edwards</t>
  </si>
  <si>
    <t>Oscar Dickerson</t>
  </si>
  <si>
    <t>Cruz Chase</t>
  </si>
  <si>
    <t>R&amp;D</t>
  </si>
  <si>
    <t>Brennan Walls</t>
  </si>
  <si>
    <t>Finance</t>
  </si>
  <si>
    <t>Marvin Moses</t>
  </si>
  <si>
    <t>Kasper Riley</t>
  </si>
  <si>
    <t>Garrison Bray</t>
  </si>
  <si>
    <t>Eaton Stevens</t>
  </si>
  <si>
    <t>Judah Suarez</t>
  </si>
  <si>
    <t>Ferdinand Small</t>
  </si>
  <si>
    <t>Jerry Goodwin</t>
  </si>
  <si>
    <t>Tad Carson</t>
  </si>
  <si>
    <t>Hashim Vazquez</t>
  </si>
  <si>
    <t>Steel Stuart</t>
  </si>
  <si>
    <t>Marketing</t>
  </si>
  <si>
    <t>Fritz Klein</t>
  </si>
  <si>
    <t>Nasim Hanson</t>
  </si>
  <si>
    <t>Jasper Battle</t>
  </si>
  <si>
    <t>Hasad Faulkner</t>
  </si>
  <si>
    <t>Lawrence Hicks</t>
  </si>
  <si>
    <t>Ciaran Smith</t>
  </si>
  <si>
    <t>Patrick Hawkins</t>
  </si>
  <si>
    <t>Jonah Mcintyre</t>
  </si>
  <si>
    <t>Noah Rowland</t>
  </si>
  <si>
    <t>Kenyon Petersen</t>
  </si>
  <si>
    <t>Oren Chase</t>
  </si>
  <si>
    <t>Tiger Schultz</t>
  </si>
  <si>
    <t>Malcolm Hutchinson</t>
  </si>
  <si>
    <t>Caldwell Shepherd</t>
  </si>
  <si>
    <t>Elmo Abbott</t>
  </si>
  <si>
    <t>Adam Curtis</t>
  </si>
  <si>
    <t>Dustin Harris</t>
  </si>
  <si>
    <t>Graham Gibbs</t>
  </si>
  <si>
    <t>Flynn Guthrie</t>
  </si>
  <si>
    <t>Wesley Conner</t>
  </si>
  <si>
    <t>Connor Baxter</t>
  </si>
  <si>
    <t>Oscar Emerson</t>
  </si>
  <si>
    <t>Brandon Mckenzie</t>
  </si>
  <si>
    <t>Aidan Tyler</t>
  </si>
  <si>
    <t>Clayton Riddle</t>
  </si>
  <si>
    <t>Chester Baldwin</t>
  </si>
  <si>
    <t>Dennis Nguyen</t>
  </si>
  <si>
    <t>Drake Dominguez</t>
  </si>
  <si>
    <t>Geoffrey Small</t>
  </si>
  <si>
    <t>Rajah Weber</t>
  </si>
  <si>
    <t>Harding Turner</t>
  </si>
  <si>
    <t>Jesse Barron</t>
  </si>
  <si>
    <t>Kenneth Booker</t>
  </si>
  <si>
    <t>Judah Robles</t>
  </si>
  <si>
    <t>Bradley Valenzuela</t>
  </si>
  <si>
    <t>Vaughan Dean</t>
  </si>
  <si>
    <t>Bevis Whitfield</t>
  </si>
  <si>
    <t>Tiger Mcintosh</t>
  </si>
  <si>
    <t>Brennan Ellison</t>
  </si>
  <si>
    <t>Chandler Stevens</t>
  </si>
  <si>
    <t>Wayne Golden</t>
  </si>
  <si>
    <t>Emerson Sellers</t>
  </si>
  <si>
    <t>Ferris Knight</t>
  </si>
  <si>
    <t>Darius Sandoval</t>
  </si>
  <si>
    <t>Giacomo Parks</t>
  </si>
  <si>
    <t>Christopher Guerra</t>
  </si>
  <si>
    <t>Kasimir Mccoy</t>
  </si>
  <si>
    <t>Oscar Keller</t>
  </si>
  <si>
    <t>Luke Luna</t>
  </si>
  <si>
    <t>Linus Christian</t>
  </si>
  <si>
    <t>Kuame Griffith</t>
  </si>
  <si>
    <t>Felix Boyle</t>
  </si>
  <si>
    <t>Barry Mccarthy</t>
  </si>
  <si>
    <t>Hyatt Rogers</t>
  </si>
  <si>
    <t>Simon Pratt</t>
  </si>
  <si>
    <t>Griffith Nielsen</t>
  </si>
  <si>
    <t>Dexter Hawkins</t>
  </si>
  <si>
    <t>Kermit Duffy</t>
  </si>
  <si>
    <t>Byron Foreman</t>
  </si>
  <si>
    <t>Hayes Gonzales</t>
  </si>
  <si>
    <t>Phelan Davidson</t>
  </si>
  <si>
    <t>Gavin Bell</t>
  </si>
  <si>
    <t>Hector Madden</t>
  </si>
  <si>
    <t>Bernard Wilkinson</t>
  </si>
  <si>
    <t>Henry Holcomb</t>
  </si>
  <si>
    <t>Stewart Wilcox</t>
  </si>
  <si>
    <t>Rashad Zimmerman</t>
  </si>
  <si>
    <t>Declan Larson</t>
  </si>
  <si>
    <t>Sawyer Byers</t>
  </si>
  <si>
    <t>Stone Bush</t>
  </si>
  <si>
    <t>Wylie Burris</t>
  </si>
  <si>
    <t>Rafael Griffith</t>
  </si>
  <si>
    <t>KPIs</t>
  </si>
  <si>
    <t>Ishci sayi</t>
  </si>
  <si>
    <t>Departament sayi</t>
  </si>
  <si>
    <t>Departament uzre ishci sayi</t>
  </si>
  <si>
    <t>Ümumi ə/h bölgüsü</t>
  </si>
  <si>
    <t>Departament üzrə ə/h bölgüsü</t>
  </si>
  <si>
    <t>Ə/h aralığı üzrə işçi sayı</t>
  </si>
  <si>
    <t>Max/Min ə/h üzrə</t>
  </si>
  <si>
    <t>Verilmiş datadan dinamik dashboard qurulmalıdır.</t>
  </si>
  <si>
    <t>Row Labels</t>
  </si>
  <si>
    <t>Grand Total</t>
  </si>
  <si>
    <t>Count of Department</t>
  </si>
  <si>
    <t>Sum of Salary</t>
  </si>
  <si>
    <t>Sum of Bonus</t>
  </si>
  <si>
    <t>Sum of Overtime</t>
  </si>
  <si>
    <t>Values</t>
  </si>
  <si>
    <t>Column Labels</t>
  </si>
  <si>
    <t>15001-20000</t>
  </si>
  <si>
    <t>20001-25000</t>
  </si>
  <si>
    <t>25001-30000</t>
  </si>
  <si>
    <t>30001-35000</t>
  </si>
  <si>
    <t>35001-40000</t>
  </si>
  <si>
    <t>40001-45000</t>
  </si>
  <si>
    <t>Helper</t>
  </si>
  <si>
    <t>A</t>
  </si>
  <si>
    <t>2017</t>
  </si>
  <si>
    <t>2015</t>
  </si>
  <si>
    <t>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</si>
</sst>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_-[$$-409]* #,##0.00_ ;_-[$$-409]* \-#,##0.00\ ;_-[$$-409]* &quot;-&quot;??_ ;_-@_ "/>
  </numFmts>
  <fonts count="8" x14ac:knownFonts="1">
    <font>
      <sz val="11"/>
      <color theme="1"/>
      <name val="Calibri"/>
      <family val="2"/>
      <scheme val="minor"/>
    </font>
    <font>
      <sz val="11"/>
      <color theme="0"/>
      <name val="Calibri"/>
      <family val="2"/>
      <scheme val="minor"/>
    </font>
    <font>
      <b/>
      <sz val="12"/>
      <color theme="0"/>
      <name val="Calibri"/>
      <family val="2"/>
      <scheme val="minor"/>
    </font>
    <font>
      <sz val="12"/>
      <name val="Calibri"/>
      <family val="2"/>
      <charset val="238"/>
      <scheme val="minor"/>
    </font>
    <font>
      <sz val="11"/>
      <name val="Calibri"/>
      <family val="2"/>
      <scheme val="minor"/>
    </font>
    <font>
      <b/>
      <sz val="11"/>
      <color theme="1"/>
      <name val="Calibri"/>
      <family val="2"/>
      <scheme val="minor"/>
    </font>
    <font>
      <sz val="10"/>
      <color theme="1"/>
      <name val="Calibri"/>
      <family val="2"/>
      <scheme val="minor"/>
    </font>
    <font>
      <b/>
      <sz val="13"/>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8" tint="0.79998168889431442"/>
        <bgColor indexed="64"/>
      </patternFill>
    </fill>
  </fills>
  <borders count="6">
    <border>
      <left/>
      <right/>
      <top/>
      <bottom/>
      <diagonal/>
    </border>
    <border>
      <left style="thin">
        <color theme="7"/>
      </left>
      <right/>
      <top style="thin">
        <color theme="7"/>
      </top>
      <bottom/>
      <diagonal/>
    </border>
    <border>
      <left style="thin">
        <color theme="7"/>
      </left>
      <right/>
      <top style="medium">
        <color theme="7"/>
      </top>
      <bottom/>
      <diagonal/>
    </border>
    <border>
      <left/>
      <right/>
      <top style="thin">
        <color theme="7"/>
      </top>
      <bottom/>
      <diagonal/>
    </border>
    <border>
      <left/>
      <right/>
      <top style="medium">
        <color theme="7"/>
      </top>
      <bottom/>
      <diagonal/>
    </border>
    <border>
      <left style="thin">
        <color theme="7"/>
      </left>
      <right/>
      <top/>
      <bottom/>
      <diagonal/>
    </border>
  </borders>
  <cellStyleXfs count="1">
    <xf numFmtId="0" fontId="0" fillId="0" borderId="0"/>
  </cellStyleXfs>
  <cellXfs count="28">
    <xf numFmtId="0" fontId="0" fillId="0" borderId="0" xfId="0"/>
    <xf numFmtId="0" fontId="3" fillId="2" borderId="4" xfId="0" applyFont="1" applyFill="1" applyBorder="1"/>
    <xf numFmtId="0" fontId="3" fillId="2" borderId="3" xfId="0" applyFont="1" applyFill="1" applyBorder="1"/>
    <xf numFmtId="14" fontId="3" fillId="2" borderId="2" xfId="0" applyNumberFormat="1" applyFont="1" applyFill="1" applyBorder="1" applyAlignment="1">
      <alignment horizontal="center"/>
    </xf>
    <xf numFmtId="164" fontId="3" fillId="2" borderId="2" xfId="0" applyNumberFormat="1" applyFont="1" applyFill="1" applyBorder="1" applyAlignment="1">
      <alignment horizontal="center"/>
    </xf>
    <xf numFmtId="0" fontId="3" fillId="2" borderId="2" xfId="0" applyFont="1" applyFill="1" applyBorder="1" applyAlignment="1">
      <alignment horizontal="center"/>
    </xf>
    <xf numFmtId="14" fontId="3" fillId="2" borderId="1" xfId="0" applyNumberFormat="1" applyFont="1" applyFill="1" applyBorder="1" applyAlignment="1">
      <alignment horizontal="center"/>
    </xf>
    <xf numFmtId="164" fontId="3" fillId="2" borderId="1" xfId="0" applyNumberFormat="1" applyFont="1" applyFill="1" applyBorder="1" applyAlignment="1">
      <alignment horizontal="center"/>
    </xf>
    <xf numFmtId="0" fontId="3" fillId="2" borderId="1" xfId="0" applyFont="1" applyFill="1" applyBorder="1" applyAlignment="1">
      <alignment horizontal="center"/>
    </xf>
    <xf numFmtId="0" fontId="0" fillId="0" borderId="0" xfId="0" applyAlignment="1">
      <alignment horizontal="center"/>
    </xf>
    <xf numFmtId="0" fontId="2" fillId="0" borderId="0" xfId="0" applyFont="1" applyAlignment="1">
      <alignment vertical="center" wrapText="1"/>
    </xf>
    <xf numFmtId="14" fontId="2" fillId="0" borderId="5" xfId="0" applyNumberFormat="1" applyFont="1" applyBorder="1" applyAlignment="1">
      <alignment horizontal="center" vertical="center" wrapText="1"/>
    </xf>
    <xf numFmtId="164" fontId="2" fillId="0" borderId="5"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1" fillId="0" borderId="0" xfId="0" applyFont="1" applyAlignment="1">
      <alignment vertical="center"/>
    </xf>
    <xf numFmtId="0" fontId="4" fillId="0" borderId="0" xfId="0" applyFont="1" applyAlignment="1">
      <alignment vertical="center"/>
    </xf>
    <xf numFmtId="0" fontId="4" fillId="0" borderId="0" xfId="0" applyFont="1"/>
    <xf numFmtId="0" fontId="5" fillId="0" borderId="0" xfId="0" applyFont="1"/>
    <xf numFmtId="0" fontId="6" fillId="0" borderId="0" xfId="0" applyFont="1"/>
    <xf numFmtId="0" fontId="7" fillId="3" borderId="0" xfId="0" applyFont="1" applyFill="1"/>
    <xf numFmtId="0" fontId="0" fillId="3" borderId="0" xfId="0" applyFill="1"/>
    <xf numFmtId="0" fontId="0" fillId="0" borderId="0" xfId="0" pivotButton="1"/>
    <xf numFmtId="0" fontId="0" fillId="0" borderId="0" xfId="0" applyAlignment="1">
      <alignment horizontal="left"/>
    </xf>
    <xf numFmtId="165" fontId="0" fillId="0" borderId="0" xfId="0" applyNumberFormat="1"/>
    <xf numFmtId="164" fontId="0" fillId="0" borderId="0" xfId="0" applyNumberFormat="1" applyAlignment="1">
      <alignment horizontal="left"/>
    </xf>
    <xf numFmtId="164" fontId="4" fillId="0" borderId="0" xfId="0" applyNumberFormat="1" applyFont="1"/>
    <xf numFmtId="164" fontId="4" fillId="0" borderId="0" xfId="0" applyNumberFormat="1" applyFont="1" applyAlignment="1">
      <alignment vertical="center"/>
    </xf>
    <xf numFmtId="0" fontId="0" fillId="0" borderId="0" xfId="0" applyNumberFormat="1"/>
  </cellXfs>
  <cellStyles count="1">
    <cellStyle name="Normal" xfId="0" builtinId="0"/>
  </cellStyles>
  <dxfs count="157">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numFmt numFmtId="165" formatCode="_-[$$-409]* #,##0.00_ ;_-[$$-409]* \-#,##0.00\ ;_-[$$-409]* &quot;-&quot;??_ ;_-@_ "/>
    </dxf>
    <dxf>
      <numFmt numFmtId="165" formatCode="_-[$$-409]* #,##0.00_ ;_-[$$-409]* \-#,##0.00\ ;_-[$$-409]* &quot;-&quot;??_ ;_-@_ "/>
    </dxf>
    <dxf>
      <numFmt numFmtId="165" formatCode="_-[$$-409]* #,##0.00_ ;_-[$$-409]* \-#,##0.00\ ;_-[$$-409]* &quot;-&quot;??_ ;_-@_ "/>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theme="7"/>
        </top>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theme="7"/>
        </top>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theme="7"/>
        </top>
        <bottom/>
      </border>
    </dxf>
    <dxf>
      <font>
        <b val="0"/>
        <i val="0"/>
        <strike val="0"/>
        <condense val="0"/>
        <extend val="0"/>
        <outline val="0"/>
        <shadow val="0"/>
        <u val="none"/>
        <vertAlign val="baseline"/>
        <sz val="12"/>
        <color auto="1"/>
        <name val="Calibri"/>
        <scheme val="minor"/>
      </font>
      <numFmt numFmtId="164" formatCode="&quot;$&quot;#,##0"/>
      <fill>
        <patternFill patternType="solid">
          <fgColor indexed="64"/>
          <bgColor theme="0"/>
        </patternFill>
      </fill>
      <alignment horizontal="center" vertical="bottom" textRotation="0" wrapText="0" indent="0" justifyLastLine="0" shrinkToFit="0" readingOrder="0"/>
      <border diagonalUp="0" diagonalDown="0" outline="0">
        <left/>
        <right/>
        <top style="thin">
          <color theme="7"/>
        </top>
        <bottom/>
      </border>
    </dxf>
    <dxf>
      <font>
        <b val="0"/>
        <i val="0"/>
        <strike val="0"/>
        <condense val="0"/>
        <extend val="0"/>
        <outline val="0"/>
        <shadow val="0"/>
        <u val="none"/>
        <vertAlign val="baseline"/>
        <sz val="12"/>
        <color auto="1"/>
        <name val="Calibri"/>
        <scheme val="minor"/>
      </font>
      <numFmt numFmtId="164" formatCode="&quot;$&quot;#,##0"/>
      <fill>
        <patternFill patternType="solid">
          <fgColor indexed="64"/>
          <bgColor theme="0"/>
        </patternFill>
      </fill>
      <alignment horizontal="center" vertical="bottom" textRotation="0" wrapText="0" indent="0" justifyLastLine="0" shrinkToFit="0" readingOrder="0"/>
      <border diagonalUp="0" diagonalDown="0" outline="0">
        <left/>
        <right/>
        <top style="thin">
          <color theme="7"/>
        </top>
        <bottom/>
      </border>
    </dxf>
    <dxf>
      <font>
        <b val="0"/>
        <i val="0"/>
        <strike val="0"/>
        <condense val="0"/>
        <extend val="0"/>
        <outline val="0"/>
        <shadow val="0"/>
        <u val="none"/>
        <vertAlign val="baseline"/>
        <sz val="12"/>
        <color auto="1"/>
        <name val="Calibri"/>
        <scheme val="minor"/>
      </font>
      <numFmt numFmtId="164" formatCode="&quot;$&quot;#,##0"/>
      <fill>
        <patternFill patternType="solid">
          <fgColor indexed="64"/>
          <bgColor theme="0"/>
        </patternFill>
      </fill>
      <alignment horizontal="center" vertical="bottom" textRotation="0" wrapText="0" indent="0" justifyLastLine="0" shrinkToFit="0" readingOrder="0"/>
      <border diagonalUp="0" diagonalDown="0" outline="0">
        <left/>
        <right/>
        <top style="thin">
          <color theme="7"/>
        </top>
        <bottom/>
      </border>
    </dxf>
    <dxf>
      <font>
        <b val="0"/>
        <i val="0"/>
        <strike val="0"/>
        <condense val="0"/>
        <extend val="0"/>
        <outline val="0"/>
        <shadow val="0"/>
        <u val="none"/>
        <vertAlign val="baseline"/>
        <sz val="12"/>
        <color auto="1"/>
        <name val="Calibri"/>
        <scheme val="minor"/>
      </font>
      <numFmt numFmtId="167" formatCode="dd/mm/yy"/>
      <fill>
        <patternFill patternType="solid">
          <fgColor indexed="64"/>
          <bgColor theme="0"/>
        </patternFill>
      </fill>
      <alignment horizontal="center" vertical="bottom" textRotation="0" wrapText="0" indent="0" justifyLastLine="0" shrinkToFit="0" readingOrder="0"/>
      <border diagonalUp="0" diagonalDown="0" outline="0">
        <left style="thin">
          <color theme="7"/>
        </left>
        <right/>
        <top style="thin">
          <color theme="7"/>
        </top>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bottom" textRotation="0" wrapText="0" indent="0" justifyLastLine="0" shrinkToFit="0" readingOrder="0"/>
      <border diagonalUp="0" diagonalDown="0">
        <left/>
        <right/>
        <top style="thin">
          <color theme="7"/>
        </top>
        <bottom/>
        <vertical/>
        <horizontal/>
      </border>
    </dxf>
    <dxf>
      <border outline="0">
        <left style="thin">
          <color theme="7"/>
        </left>
        <right style="thin">
          <color theme="7"/>
        </right>
        <top style="thin">
          <color theme="7"/>
        </top>
        <bottom style="thin">
          <color theme="7"/>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bottom" textRotation="0" wrapText="0" indent="0" justifyLastLine="0" shrinkToFit="0" readingOrder="0"/>
    </dxf>
    <dxf>
      <fill>
        <patternFill patternType="none">
          <fgColor indexed="64"/>
          <bgColor auto="1"/>
        </patternFill>
      </fill>
      <alignment horizontal="general" vertical="center" textRotation="0" wrapText="1" indent="0" justifyLastLine="0" shrinkToFit="0" readingOrder="0"/>
    </dxf>
    <dxf>
      <numFmt numFmtId="165" formatCode="_-[$$-409]* #,##0.00_ ;_-[$$-409]* \-#,##0.00\ ;_-[$$-409]* &quot;-&quot;??_ ;_-@_ "/>
    </dxf>
    <dxf>
      <numFmt numFmtId="165" formatCode="_-[$$-409]* #,##0.00_ ;_-[$$-409]* \-#,##0.00\ ;_-[$$-409]* &quot;-&quot;??_ ;_-@_ "/>
    </dxf>
    <dxf>
      <numFmt numFmtId="165" formatCode="_-[$$-409]* #,##0.00_ ;_-[$$-409]* \-#,##0.00\ ;_-[$$-409]* &quot;-&quot;??_ ;_-@_ "/>
    </dxf>
    <dxf>
      <numFmt numFmtId="166" formatCode="_-[$£-809]* #,##0.00_-;\-[$£-809]* #,##0.00_-;_-[$£-809]* &quot;-&quot;??_-;_-@_-"/>
    </dxf>
    <dxf>
      <numFmt numFmtId="166" formatCode="_-[$£-809]* #,##0.00_-;\-[$£-809]* #,##0.00_-;_-[$£-809]* &quot;-&quot;??_-;_-@_-"/>
    </dxf>
    <dxf>
      <numFmt numFmtId="166" formatCode="_-[$£-809]* #,##0.00_-;\-[$£-809]* #,##0.00_-;_-[$£-809]* &quot;-&quot;??_-;_-@_-"/>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00000000-0011-0000-FFFF-FFFF00000000}">
      <tableStyleElement type="wholeTable" dxfId="156"/>
      <tableStyleElement type="headerRow" dxfId="155"/>
    </tableStyle>
  </tableStyles>
  <colors>
    <mruColors>
      <color rgb="FFFFFF66"/>
      <color rgb="FFFF9900"/>
      <color rgb="FF5C705E"/>
      <color rgb="FF996633"/>
      <color rgb="FF33CCCC"/>
      <color rgb="FF0099FF"/>
      <color rgb="FF6666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externalLink" Target="externalLinks/externalLink1.xml"/><Relationship Id="rId12" Type="http://schemas.microsoft.com/office/2011/relationships/timelineCache" Target="timelineCaches/timeline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4.xlsx]Sheet1!PivotTable8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Department</a:t>
            </a:r>
            <a:endParaRPr lang="en-US"/>
          </a:p>
        </c:rich>
      </c:tx>
      <c:layout>
        <c:manualLayout>
          <c:xMode val="edge"/>
          <c:yMode val="edge"/>
          <c:x val="0.3258611111111111"/>
          <c:y val="0.638888888888888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manualLayout>
          <c:layoutTarget val="inner"/>
          <c:xMode val="edge"/>
          <c:yMode val="edge"/>
          <c:x val="3.333337002671645E-2"/>
          <c:y val="4.6686258896059991E-2"/>
          <c:w val="0.93888888888888888"/>
          <c:h val="0.52215113735783025"/>
        </c:manualLayout>
      </c:layout>
      <c:barChart>
        <c:barDir val="col"/>
        <c:grouping val="clustered"/>
        <c:varyColors val="1"/>
        <c:ser>
          <c:idx val="0"/>
          <c:order val="0"/>
          <c:tx>
            <c:strRef>
              <c:f>Sheet1!$B$3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F882-415D-98AC-968EBF4473A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882-415D-98AC-968EBF4473A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F882-415D-98AC-968EBF4473A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F882-415D-98AC-968EBF4473A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F882-415D-98AC-968EBF4473A8}"/>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F882-415D-98AC-968EBF4473A8}"/>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F882-415D-98AC-968EBF4473A8}"/>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F882-415D-98AC-968EBF4473A8}"/>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F882-415D-98AC-968EBF4473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Sheet1!$A$4:$A$13</c:f>
              <c:strCache>
                <c:ptCount val="9"/>
                <c:pt idx="0">
                  <c:v>Accounting</c:v>
                </c:pt>
                <c:pt idx="1">
                  <c:v>Administration</c:v>
                </c:pt>
                <c:pt idx="2">
                  <c:v>Customer Support</c:v>
                </c:pt>
                <c:pt idx="3">
                  <c:v>Finance</c:v>
                </c:pt>
                <c:pt idx="4">
                  <c:v>Human Resources</c:v>
                </c:pt>
                <c:pt idx="5">
                  <c:v>IT</c:v>
                </c:pt>
                <c:pt idx="6">
                  <c:v>Marketing</c:v>
                </c:pt>
                <c:pt idx="7">
                  <c:v>R&amp;D</c:v>
                </c:pt>
                <c:pt idx="8">
                  <c:v>Sales</c:v>
                </c:pt>
              </c:strCache>
            </c:strRef>
          </c:cat>
          <c:val>
            <c:numRef>
              <c:f>Sheet1!$B$4:$B$13</c:f>
              <c:numCache>
                <c:formatCode>General</c:formatCode>
                <c:ptCount val="9"/>
                <c:pt idx="0">
                  <c:v>12</c:v>
                </c:pt>
                <c:pt idx="1">
                  <c:v>12</c:v>
                </c:pt>
                <c:pt idx="2">
                  <c:v>9</c:v>
                </c:pt>
                <c:pt idx="3">
                  <c:v>14</c:v>
                </c:pt>
                <c:pt idx="4">
                  <c:v>15</c:v>
                </c:pt>
                <c:pt idx="5">
                  <c:v>6</c:v>
                </c:pt>
                <c:pt idx="6">
                  <c:v>4</c:v>
                </c:pt>
                <c:pt idx="7">
                  <c:v>9</c:v>
                </c:pt>
                <c:pt idx="8">
                  <c:v>19</c:v>
                </c:pt>
              </c:numCache>
            </c:numRef>
          </c:val>
          <c:extLst>
            <c:ext xmlns:c16="http://schemas.microsoft.com/office/drawing/2014/chart" uri="{C3380CC4-5D6E-409C-BE32-E72D297353CC}">
              <c16:uniqueId val="{00000012-F882-415D-98AC-968EBF4473A8}"/>
            </c:ext>
          </c:extLst>
        </c:ser>
        <c:dLbls>
          <c:dLblPos val="outEnd"/>
          <c:showLegendKey val="0"/>
          <c:showVal val="1"/>
          <c:showCatName val="0"/>
          <c:showSerName val="0"/>
          <c:showPercent val="0"/>
          <c:showBubbleSize val="0"/>
        </c:dLbls>
        <c:gapWidth val="54"/>
        <c:overlap val="-27"/>
        <c:axId val="722501944"/>
        <c:axId val="722502272"/>
      </c:barChart>
      <c:catAx>
        <c:axId val="722501944"/>
        <c:scaling>
          <c:orientation val="minMax"/>
        </c:scaling>
        <c:delete val="1"/>
        <c:axPos val="b"/>
        <c:numFmt formatCode="General" sourceLinked="1"/>
        <c:majorTickMark val="none"/>
        <c:minorTickMark val="none"/>
        <c:tickLblPos val="nextTo"/>
        <c:crossAx val="722502272"/>
        <c:crosses val="autoZero"/>
        <c:auto val="1"/>
        <c:lblAlgn val="ctr"/>
        <c:lblOffset val="100"/>
        <c:noMultiLvlLbl val="0"/>
      </c:catAx>
      <c:valAx>
        <c:axId val="722502272"/>
        <c:scaling>
          <c:orientation val="minMax"/>
        </c:scaling>
        <c:delete val="1"/>
        <c:axPos val="l"/>
        <c:numFmt formatCode="General" sourceLinked="1"/>
        <c:majorTickMark val="none"/>
        <c:minorTickMark val="none"/>
        <c:tickLblPos val="nextTo"/>
        <c:crossAx val="722501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4.xlsx]Sheet1!PivotTable9</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Sheet1!$B$25:$B$26</c:f>
              <c:strCache>
                <c:ptCount val="1"/>
                <c:pt idx="0">
                  <c:v>Accounting</c:v>
                </c:pt>
              </c:strCache>
            </c:strRef>
          </c:tx>
          <c:spPr>
            <a:solidFill>
              <a:srgbClr val="FF0000"/>
            </a:solidFill>
            <a:ln>
              <a:noFill/>
            </a:ln>
            <a:effectLst/>
          </c:spPr>
          <c:invertIfNegative val="0"/>
          <c:cat>
            <c:strRef>
              <c:f>Sheet1!$A$27:$A$29</c:f>
              <c:strCache>
                <c:ptCount val="3"/>
                <c:pt idx="0">
                  <c:v>Sum of Salary</c:v>
                </c:pt>
                <c:pt idx="1">
                  <c:v>Sum of Bonus</c:v>
                </c:pt>
                <c:pt idx="2">
                  <c:v>Sum of Overtime</c:v>
                </c:pt>
              </c:strCache>
            </c:strRef>
          </c:cat>
          <c:val>
            <c:numRef>
              <c:f>Sheet1!$B$27:$B$29</c:f>
              <c:numCache>
                <c:formatCode>General</c:formatCode>
                <c:ptCount val="3"/>
                <c:pt idx="0">
                  <c:v>334869</c:v>
                </c:pt>
                <c:pt idx="1">
                  <c:v>216260</c:v>
                </c:pt>
                <c:pt idx="2">
                  <c:v>14360</c:v>
                </c:pt>
              </c:numCache>
            </c:numRef>
          </c:val>
          <c:extLst>
            <c:ext xmlns:c16="http://schemas.microsoft.com/office/drawing/2014/chart" uri="{C3380CC4-5D6E-409C-BE32-E72D297353CC}">
              <c16:uniqueId val="{00000000-5ADB-42F5-A237-1C802CA3E5BA}"/>
            </c:ext>
          </c:extLst>
        </c:ser>
        <c:ser>
          <c:idx val="1"/>
          <c:order val="1"/>
          <c:tx>
            <c:strRef>
              <c:f>Sheet1!$C$25:$C$26</c:f>
              <c:strCache>
                <c:ptCount val="1"/>
                <c:pt idx="0">
                  <c:v>Administration</c:v>
                </c:pt>
              </c:strCache>
            </c:strRef>
          </c:tx>
          <c:spPr>
            <a:solidFill>
              <a:schemeClr val="accent2"/>
            </a:solidFill>
            <a:ln>
              <a:noFill/>
            </a:ln>
            <a:effectLst/>
          </c:spPr>
          <c:invertIfNegative val="0"/>
          <c:cat>
            <c:strRef>
              <c:f>Sheet1!$A$27:$A$29</c:f>
              <c:strCache>
                <c:ptCount val="3"/>
                <c:pt idx="0">
                  <c:v>Sum of Salary</c:v>
                </c:pt>
                <c:pt idx="1">
                  <c:v>Sum of Bonus</c:v>
                </c:pt>
                <c:pt idx="2">
                  <c:v>Sum of Overtime</c:v>
                </c:pt>
              </c:strCache>
            </c:strRef>
          </c:cat>
          <c:val>
            <c:numRef>
              <c:f>Sheet1!$C$27:$C$29</c:f>
              <c:numCache>
                <c:formatCode>General</c:formatCode>
                <c:ptCount val="3"/>
                <c:pt idx="0">
                  <c:v>321997</c:v>
                </c:pt>
                <c:pt idx="1">
                  <c:v>112050</c:v>
                </c:pt>
                <c:pt idx="2">
                  <c:v>19080</c:v>
                </c:pt>
              </c:numCache>
            </c:numRef>
          </c:val>
          <c:extLst>
            <c:ext xmlns:c16="http://schemas.microsoft.com/office/drawing/2014/chart" uri="{C3380CC4-5D6E-409C-BE32-E72D297353CC}">
              <c16:uniqueId val="{00000004-7659-402A-8EDD-BCF8AB67532C}"/>
            </c:ext>
          </c:extLst>
        </c:ser>
        <c:ser>
          <c:idx val="2"/>
          <c:order val="2"/>
          <c:tx>
            <c:strRef>
              <c:f>Sheet1!$D$25:$D$26</c:f>
              <c:strCache>
                <c:ptCount val="1"/>
                <c:pt idx="0">
                  <c:v>Customer Support</c:v>
                </c:pt>
              </c:strCache>
            </c:strRef>
          </c:tx>
          <c:spPr>
            <a:solidFill>
              <a:schemeClr val="accent3"/>
            </a:solidFill>
            <a:ln>
              <a:noFill/>
            </a:ln>
            <a:effectLst/>
          </c:spPr>
          <c:invertIfNegative val="0"/>
          <c:cat>
            <c:strRef>
              <c:f>Sheet1!$A$27:$A$29</c:f>
              <c:strCache>
                <c:ptCount val="3"/>
                <c:pt idx="0">
                  <c:v>Sum of Salary</c:v>
                </c:pt>
                <c:pt idx="1">
                  <c:v>Sum of Bonus</c:v>
                </c:pt>
                <c:pt idx="2">
                  <c:v>Sum of Overtime</c:v>
                </c:pt>
              </c:strCache>
            </c:strRef>
          </c:cat>
          <c:val>
            <c:numRef>
              <c:f>Sheet1!$D$27:$D$29</c:f>
              <c:numCache>
                <c:formatCode>General</c:formatCode>
                <c:ptCount val="3"/>
                <c:pt idx="0">
                  <c:v>256084</c:v>
                </c:pt>
                <c:pt idx="1">
                  <c:v>71890</c:v>
                </c:pt>
                <c:pt idx="2">
                  <c:v>19220</c:v>
                </c:pt>
              </c:numCache>
            </c:numRef>
          </c:val>
          <c:extLst>
            <c:ext xmlns:c16="http://schemas.microsoft.com/office/drawing/2014/chart" uri="{C3380CC4-5D6E-409C-BE32-E72D297353CC}">
              <c16:uniqueId val="{00000005-7659-402A-8EDD-BCF8AB67532C}"/>
            </c:ext>
          </c:extLst>
        </c:ser>
        <c:ser>
          <c:idx val="3"/>
          <c:order val="3"/>
          <c:tx>
            <c:strRef>
              <c:f>Sheet1!$E$25:$E$26</c:f>
              <c:strCache>
                <c:ptCount val="1"/>
                <c:pt idx="0">
                  <c:v>Finance</c:v>
                </c:pt>
              </c:strCache>
            </c:strRef>
          </c:tx>
          <c:spPr>
            <a:solidFill>
              <a:schemeClr val="accent4"/>
            </a:solidFill>
            <a:ln>
              <a:noFill/>
            </a:ln>
            <a:effectLst/>
          </c:spPr>
          <c:invertIfNegative val="0"/>
          <c:cat>
            <c:strRef>
              <c:f>Sheet1!$A$27:$A$29</c:f>
              <c:strCache>
                <c:ptCount val="3"/>
                <c:pt idx="0">
                  <c:v>Sum of Salary</c:v>
                </c:pt>
                <c:pt idx="1">
                  <c:v>Sum of Bonus</c:v>
                </c:pt>
                <c:pt idx="2">
                  <c:v>Sum of Overtime</c:v>
                </c:pt>
              </c:strCache>
            </c:strRef>
          </c:cat>
          <c:val>
            <c:numRef>
              <c:f>Sheet1!$E$27:$E$29</c:f>
              <c:numCache>
                <c:formatCode>General</c:formatCode>
                <c:ptCount val="3"/>
                <c:pt idx="0">
                  <c:v>372448</c:v>
                </c:pt>
                <c:pt idx="1">
                  <c:v>123240</c:v>
                </c:pt>
                <c:pt idx="2">
                  <c:v>22580</c:v>
                </c:pt>
              </c:numCache>
            </c:numRef>
          </c:val>
          <c:extLst>
            <c:ext xmlns:c16="http://schemas.microsoft.com/office/drawing/2014/chart" uri="{C3380CC4-5D6E-409C-BE32-E72D297353CC}">
              <c16:uniqueId val="{00000007-7659-402A-8EDD-BCF8AB67532C}"/>
            </c:ext>
          </c:extLst>
        </c:ser>
        <c:ser>
          <c:idx val="4"/>
          <c:order val="4"/>
          <c:tx>
            <c:strRef>
              <c:f>Sheet1!$F$25:$F$26</c:f>
              <c:strCache>
                <c:ptCount val="1"/>
                <c:pt idx="0">
                  <c:v>Human Resources</c:v>
                </c:pt>
              </c:strCache>
            </c:strRef>
          </c:tx>
          <c:spPr>
            <a:solidFill>
              <a:schemeClr val="accent5"/>
            </a:solidFill>
            <a:ln>
              <a:noFill/>
            </a:ln>
            <a:effectLst/>
          </c:spPr>
          <c:invertIfNegative val="0"/>
          <c:cat>
            <c:strRef>
              <c:f>Sheet1!$A$27:$A$29</c:f>
              <c:strCache>
                <c:ptCount val="3"/>
                <c:pt idx="0">
                  <c:v>Sum of Salary</c:v>
                </c:pt>
                <c:pt idx="1">
                  <c:v>Sum of Bonus</c:v>
                </c:pt>
                <c:pt idx="2">
                  <c:v>Sum of Overtime</c:v>
                </c:pt>
              </c:strCache>
            </c:strRef>
          </c:cat>
          <c:val>
            <c:numRef>
              <c:f>Sheet1!$F$27:$F$29</c:f>
              <c:numCache>
                <c:formatCode>General</c:formatCode>
                <c:ptCount val="3"/>
                <c:pt idx="0">
                  <c:v>418886</c:v>
                </c:pt>
                <c:pt idx="1">
                  <c:v>105640</c:v>
                </c:pt>
                <c:pt idx="2">
                  <c:v>41200</c:v>
                </c:pt>
              </c:numCache>
            </c:numRef>
          </c:val>
          <c:extLst>
            <c:ext xmlns:c16="http://schemas.microsoft.com/office/drawing/2014/chart" uri="{C3380CC4-5D6E-409C-BE32-E72D297353CC}">
              <c16:uniqueId val="{00000008-7659-402A-8EDD-BCF8AB67532C}"/>
            </c:ext>
          </c:extLst>
        </c:ser>
        <c:ser>
          <c:idx val="5"/>
          <c:order val="5"/>
          <c:tx>
            <c:strRef>
              <c:f>Sheet1!$G$25:$G$26</c:f>
              <c:strCache>
                <c:ptCount val="1"/>
                <c:pt idx="0">
                  <c:v>IT</c:v>
                </c:pt>
              </c:strCache>
            </c:strRef>
          </c:tx>
          <c:spPr>
            <a:solidFill>
              <a:schemeClr val="accent6"/>
            </a:solidFill>
            <a:ln>
              <a:noFill/>
            </a:ln>
            <a:effectLst/>
          </c:spPr>
          <c:invertIfNegative val="0"/>
          <c:cat>
            <c:strRef>
              <c:f>Sheet1!$A$27:$A$29</c:f>
              <c:strCache>
                <c:ptCount val="3"/>
                <c:pt idx="0">
                  <c:v>Sum of Salary</c:v>
                </c:pt>
                <c:pt idx="1">
                  <c:v>Sum of Bonus</c:v>
                </c:pt>
                <c:pt idx="2">
                  <c:v>Sum of Overtime</c:v>
                </c:pt>
              </c:strCache>
            </c:strRef>
          </c:cat>
          <c:val>
            <c:numRef>
              <c:f>Sheet1!$G$27:$G$29</c:f>
              <c:numCache>
                <c:formatCode>General</c:formatCode>
                <c:ptCount val="3"/>
                <c:pt idx="0">
                  <c:v>172425</c:v>
                </c:pt>
                <c:pt idx="1">
                  <c:v>37230</c:v>
                </c:pt>
                <c:pt idx="2">
                  <c:v>12100</c:v>
                </c:pt>
              </c:numCache>
            </c:numRef>
          </c:val>
          <c:extLst>
            <c:ext xmlns:c16="http://schemas.microsoft.com/office/drawing/2014/chart" uri="{C3380CC4-5D6E-409C-BE32-E72D297353CC}">
              <c16:uniqueId val="{00000009-7659-402A-8EDD-BCF8AB67532C}"/>
            </c:ext>
          </c:extLst>
        </c:ser>
        <c:ser>
          <c:idx val="6"/>
          <c:order val="6"/>
          <c:tx>
            <c:strRef>
              <c:f>Sheet1!$H$25:$H$26</c:f>
              <c:strCache>
                <c:ptCount val="1"/>
                <c:pt idx="0">
                  <c:v>Marketing</c:v>
                </c:pt>
              </c:strCache>
            </c:strRef>
          </c:tx>
          <c:spPr>
            <a:solidFill>
              <a:schemeClr val="accent1">
                <a:lumMod val="60000"/>
              </a:schemeClr>
            </a:solidFill>
            <a:ln>
              <a:noFill/>
            </a:ln>
            <a:effectLst/>
          </c:spPr>
          <c:invertIfNegative val="0"/>
          <c:cat>
            <c:strRef>
              <c:f>Sheet1!$A$27:$A$29</c:f>
              <c:strCache>
                <c:ptCount val="3"/>
                <c:pt idx="0">
                  <c:v>Sum of Salary</c:v>
                </c:pt>
                <c:pt idx="1">
                  <c:v>Sum of Bonus</c:v>
                </c:pt>
                <c:pt idx="2">
                  <c:v>Sum of Overtime</c:v>
                </c:pt>
              </c:strCache>
            </c:strRef>
          </c:cat>
          <c:val>
            <c:numRef>
              <c:f>Sheet1!$H$27:$H$29</c:f>
              <c:numCache>
                <c:formatCode>General</c:formatCode>
                <c:ptCount val="3"/>
                <c:pt idx="0">
                  <c:v>139769</c:v>
                </c:pt>
                <c:pt idx="1">
                  <c:v>19170</c:v>
                </c:pt>
                <c:pt idx="2">
                  <c:v>8700</c:v>
                </c:pt>
              </c:numCache>
            </c:numRef>
          </c:val>
          <c:extLst>
            <c:ext xmlns:c16="http://schemas.microsoft.com/office/drawing/2014/chart" uri="{C3380CC4-5D6E-409C-BE32-E72D297353CC}">
              <c16:uniqueId val="{0000000A-7659-402A-8EDD-BCF8AB67532C}"/>
            </c:ext>
          </c:extLst>
        </c:ser>
        <c:ser>
          <c:idx val="7"/>
          <c:order val="7"/>
          <c:tx>
            <c:strRef>
              <c:f>Sheet1!$I$25:$I$26</c:f>
              <c:strCache>
                <c:ptCount val="1"/>
                <c:pt idx="0">
                  <c:v>R&amp;D</c:v>
                </c:pt>
              </c:strCache>
            </c:strRef>
          </c:tx>
          <c:spPr>
            <a:solidFill>
              <a:schemeClr val="accent2">
                <a:lumMod val="60000"/>
              </a:schemeClr>
            </a:solidFill>
            <a:ln>
              <a:noFill/>
            </a:ln>
            <a:effectLst/>
          </c:spPr>
          <c:invertIfNegative val="0"/>
          <c:cat>
            <c:strRef>
              <c:f>Sheet1!$A$27:$A$29</c:f>
              <c:strCache>
                <c:ptCount val="3"/>
                <c:pt idx="0">
                  <c:v>Sum of Salary</c:v>
                </c:pt>
                <c:pt idx="1">
                  <c:v>Sum of Bonus</c:v>
                </c:pt>
                <c:pt idx="2">
                  <c:v>Sum of Overtime</c:v>
                </c:pt>
              </c:strCache>
            </c:strRef>
          </c:cat>
          <c:val>
            <c:numRef>
              <c:f>Sheet1!$I$27:$I$29</c:f>
              <c:numCache>
                <c:formatCode>General</c:formatCode>
                <c:ptCount val="3"/>
                <c:pt idx="0">
                  <c:v>323544</c:v>
                </c:pt>
                <c:pt idx="1">
                  <c:v>52650</c:v>
                </c:pt>
                <c:pt idx="2">
                  <c:v>26620</c:v>
                </c:pt>
              </c:numCache>
            </c:numRef>
          </c:val>
          <c:extLst>
            <c:ext xmlns:c16="http://schemas.microsoft.com/office/drawing/2014/chart" uri="{C3380CC4-5D6E-409C-BE32-E72D297353CC}">
              <c16:uniqueId val="{0000000B-7659-402A-8EDD-BCF8AB67532C}"/>
            </c:ext>
          </c:extLst>
        </c:ser>
        <c:ser>
          <c:idx val="8"/>
          <c:order val="8"/>
          <c:tx>
            <c:strRef>
              <c:f>Sheet1!$J$25:$J$26</c:f>
              <c:strCache>
                <c:ptCount val="1"/>
                <c:pt idx="0">
                  <c:v>Sales</c:v>
                </c:pt>
              </c:strCache>
            </c:strRef>
          </c:tx>
          <c:spPr>
            <a:solidFill>
              <a:schemeClr val="accent3">
                <a:lumMod val="60000"/>
              </a:schemeClr>
            </a:solidFill>
            <a:ln>
              <a:noFill/>
            </a:ln>
            <a:effectLst/>
          </c:spPr>
          <c:invertIfNegative val="0"/>
          <c:cat>
            <c:strRef>
              <c:f>Sheet1!$A$27:$A$29</c:f>
              <c:strCache>
                <c:ptCount val="3"/>
                <c:pt idx="0">
                  <c:v>Sum of Salary</c:v>
                </c:pt>
                <c:pt idx="1">
                  <c:v>Sum of Bonus</c:v>
                </c:pt>
                <c:pt idx="2">
                  <c:v>Sum of Overtime</c:v>
                </c:pt>
              </c:strCache>
            </c:strRef>
          </c:cat>
          <c:val>
            <c:numRef>
              <c:f>Sheet1!$J$27:$J$29</c:f>
              <c:numCache>
                <c:formatCode>General</c:formatCode>
                <c:ptCount val="3"/>
                <c:pt idx="0">
                  <c:v>518986</c:v>
                </c:pt>
                <c:pt idx="1">
                  <c:v>211010</c:v>
                </c:pt>
                <c:pt idx="2">
                  <c:v>20220</c:v>
                </c:pt>
              </c:numCache>
            </c:numRef>
          </c:val>
          <c:extLst>
            <c:ext xmlns:c16="http://schemas.microsoft.com/office/drawing/2014/chart" uri="{C3380CC4-5D6E-409C-BE32-E72D297353CC}">
              <c16:uniqueId val="{0000000C-7659-402A-8EDD-BCF8AB67532C}"/>
            </c:ext>
          </c:extLst>
        </c:ser>
        <c:dLbls>
          <c:showLegendKey val="0"/>
          <c:showVal val="0"/>
          <c:showCatName val="0"/>
          <c:showSerName val="0"/>
          <c:showPercent val="0"/>
          <c:showBubbleSize val="0"/>
        </c:dLbls>
        <c:gapWidth val="150"/>
        <c:overlap val="100"/>
        <c:axId val="1097671704"/>
        <c:axId val="1097672688"/>
      </c:barChart>
      <c:catAx>
        <c:axId val="1097671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672688"/>
        <c:crosses val="autoZero"/>
        <c:auto val="1"/>
        <c:lblAlgn val="ctr"/>
        <c:lblOffset val="100"/>
        <c:noMultiLvlLbl val="0"/>
      </c:catAx>
      <c:valAx>
        <c:axId val="10976726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671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Sheet2!$E$4</c:f>
              <c:strCache>
                <c:ptCount val="1"/>
                <c:pt idx="0">
                  <c:v>15001-20000</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36B-42F6-A4B9-5979ECFA8485}"/>
              </c:ext>
            </c:extLst>
          </c:dPt>
          <c:dPt>
            <c:idx val="1"/>
            <c:bubble3D val="0"/>
            <c:spPr>
              <a:noFill/>
              <a:ln w="6350">
                <a:solidFill>
                  <a:schemeClr val="tx1"/>
                </a:solidFill>
              </a:ln>
              <a:effectLst/>
            </c:spPr>
            <c:extLst>
              <c:ext xmlns:c16="http://schemas.microsoft.com/office/drawing/2014/chart" uri="{C3380CC4-5D6E-409C-BE32-E72D297353CC}">
                <c16:uniqueId val="{00000003-736B-42F6-A4B9-5979ECFA8485}"/>
              </c:ext>
            </c:extLst>
          </c:dPt>
          <c:cat>
            <c:strRef>
              <c:f>Sheet2!$F$3:$G$3</c:f>
              <c:strCache>
                <c:ptCount val="2"/>
                <c:pt idx="0">
                  <c:v>Sum of Salary</c:v>
                </c:pt>
                <c:pt idx="1">
                  <c:v>A</c:v>
                </c:pt>
              </c:strCache>
            </c:strRef>
          </c:cat>
          <c:val>
            <c:numRef>
              <c:f>Sheet2!$F$4:$G$4</c:f>
              <c:numCache>
                <c:formatCode>General</c:formatCode>
                <c:ptCount val="2"/>
                <c:pt idx="0">
                  <c:v>369181</c:v>
                </c:pt>
                <c:pt idx="1">
                  <c:v>528845</c:v>
                </c:pt>
              </c:numCache>
            </c:numRef>
          </c:val>
          <c:extLst>
            <c:ext xmlns:c16="http://schemas.microsoft.com/office/drawing/2014/chart" uri="{C3380CC4-5D6E-409C-BE32-E72D297353CC}">
              <c16:uniqueId val="{00000004-736B-42F6-A4B9-5979ECFA8485}"/>
            </c:ext>
          </c:extLst>
        </c:ser>
        <c:ser>
          <c:idx val="1"/>
          <c:order val="1"/>
          <c:tx>
            <c:strRef>
              <c:f>Sheet2!$E$5</c:f>
              <c:strCache>
                <c:ptCount val="1"/>
                <c:pt idx="0">
                  <c:v>20001-25000</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736B-42F6-A4B9-5979ECFA8485}"/>
              </c:ext>
            </c:extLst>
          </c:dPt>
          <c:dPt>
            <c:idx val="1"/>
            <c:bubble3D val="0"/>
            <c:spPr>
              <a:noFill/>
              <a:ln w="6350">
                <a:solidFill>
                  <a:schemeClr val="tx1"/>
                </a:solidFill>
              </a:ln>
              <a:effectLst/>
            </c:spPr>
            <c:extLst>
              <c:ext xmlns:c16="http://schemas.microsoft.com/office/drawing/2014/chart" uri="{C3380CC4-5D6E-409C-BE32-E72D297353CC}">
                <c16:uniqueId val="{00000008-736B-42F6-A4B9-5979ECFA8485}"/>
              </c:ext>
            </c:extLst>
          </c:dPt>
          <c:cat>
            <c:strRef>
              <c:f>Sheet2!$F$3:$G$3</c:f>
              <c:strCache>
                <c:ptCount val="2"/>
                <c:pt idx="0">
                  <c:v>Sum of Salary</c:v>
                </c:pt>
                <c:pt idx="1">
                  <c:v>A</c:v>
                </c:pt>
              </c:strCache>
            </c:strRef>
          </c:cat>
          <c:val>
            <c:numRef>
              <c:f>Sheet2!$F$5:$G$5</c:f>
              <c:numCache>
                <c:formatCode>General</c:formatCode>
                <c:ptCount val="2"/>
                <c:pt idx="0">
                  <c:v>478008</c:v>
                </c:pt>
                <c:pt idx="1">
                  <c:v>420018</c:v>
                </c:pt>
              </c:numCache>
            </c:numRef>
          </c:val>
          <c:extLst>
            <c:ext xmlns:c16="http://schemas.microsoft.com/office/drawing/2014/chart" uri="{C3380CC4-5D6E-409C-BE32-E72D297353CC}">
              <c16:uniqueId val="{00000009-736B-42F6-A4B9-5979ECFA8485}"/>
            </c:ext>
          </c:extLst>
        </c:ser>
        <c:ser>
          <c:idx val="2"/>
          <c:order val="2"/>
          <c:tx>
            <c:strRef>
              <c:f>Sheet2!$E$6</c:f>
              <c:strCache>
                <c:ptCount val="1"/>
                <c:pt idx="0">
                  <c:v>25001-30000</c:v>
                </c:pt>
              </c:strCache>
            </c:strRef>
          </c:tx>
          <c:dPt>
            <c:idx val="0"/>
            <c:bubble3D val="0"/>
            <c:spPr>
              <a:solidFill>
                <a:srgbClr val="FFFF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736B-42F6-A4B9-5979ECFA8485}"/>
              </c:ext>
            </c:extLst>
          </c:dPt>
          <c:dPt>
            <c:idx val="1"/>
            <c:bubble3D val="0"/>
            <c:spPr>
              <a:noFill/>
              <a:ln w="6350">
                <a:solidFill>
                  <a:schemeClr val="tx1"/>
                </a:solidFill>
              </a:ln>
              <a:effectLst/>
            </c:spPr>
            <c:extLst>
              <c:ext xmlns:c16="http://schemas.microsoft.com/office/drawing/2014/chart" uri="{C3380CC4-5D6E-409C-BE32-E72D297353CC}">
                <c16:uniqueId val="{0000000D-736B-42F6-A4B9-5979ECFA8485}"/>
              </c:ext>
            </c:extLst>
          </c:dPt>
          <c:cat>
            <c:strRef>
              <c:f>Sheet2!$F$3:$G$3</c:f>
              <c:strCache>
                <c:ptCount val="2"/>
                <c:pt idx="0">
                  <c:v>Sum of Salary</c:v>
                </c:pt>
                <c:pt idx="1">
                  <c:v>A</c:v>
                </c:pt>
              </c:strCache>
            </c:strRef>
          </c:cat>
          <c:val>
            <c:numRef>
              <c:f>Sheet2!$F$6:$G$6</c:f>
              <c:numCache>
                <c:formatCode>General</c:formatCode>
                <c:ptCount val="2"/>
                <c:pt idx="0">
                  <c:v>408625</c:v>
                </c:pt>
                <c:pt idx="1">
                  <c:v>489401</c:v>
                </c:pt>
              </c:numCache>
            </c:numRef>
          </c:val>
          <c:extLst>
            <c:ext xmlns:c16="http://schemas.microsoft.com/office/drawing/2014/chart" uri="{C3380CC4-5D6E-409C-BE32-E72D297353CC}">
              <c16:uniqueId val="{0000000E-736B-42F6-A4B9-5979ECFA8485}"/>
            </c:ext>
          </c:extLst>
        </c:ser>
        <c:ser>
          <c:idx val="3"/>
          <c:order val="3"/>
          <c:tx>
            <c:strRef>
              <c:f>Sheet2!$E$7</c:f>
              <c:strCache>
                <c:ptCount val="1"/>
                <c:pt idx="0">
                  <c:v>30001-35000</c:v>
                </c:pt>
              </c:strCache>
            </c:strRef>
          </c:tx>
          <c:dPt>
            <c:idx val="0"/>
            <c:bubble3D val="0"/>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736B-42F6-A4B9-5979ECFA8485}"/>
              </c:ext>
            </c:extLst>
          </c:dPt>
          <c:dPt>
            <c:idx val="1"/>
            <c:bubble3D val="0"/>
            <c:spPr>
              <a:noFill/>
              <a:ln w="6350">
                <a:solidFill>
                  <a:schemeClr val="tx1"/>
                </a:solidFill>
              </a:ln>
              <a:effectLst/>
            </c:spPr>
            <c:extLst>
              <c:ext xmlns:c16="http://schemas.microsoft.com/office/drawing/2014/chart" uri="{C3380CC4-5D6E-409C-BE32-E72D297353CC}">
                <c16:uniqueId val="{00000012-736B-42F6-A4B9-5979ECFA8485}"/>
              </c:ext>
            </c:extLst>
          </c:dPt>
          <c:cat>
            <c:strRef>
              <c:f>Sheet2!$F$3:$G$3</c:f>
              <c:strCache>
                <c:ptCount val="2"/>
                <c:pt idx="0">
                  <c:v>Sum of Salary</c:v>
                </c:pt>
                <c:pt idx="1">
                  <c:v>A</c:v>
                </c:pt>
              </c:strCache>
            </c:strRef>
          </c:cat>
          <c:val>
            <c:numRef>
              <c:f>Sheet2!$F$7:$G$7</c:f>
              <c:numCache>
                <c:formatCode>General</c:formatCode>
                <c:ptCount val="2"/>
                <c:pt idx="0">
                  <c:v>526427</c:v>
                </c:pt>
                <c:pt idx="1">
                  <c:v>371599</c:v>
                </c:pt>
              </c:numCache>
            </c:numRef>
          </c:val>
          <c:extLst>
            <c:ext xmlns:c16="http://schemas.microsoft.com/office/drawing/2014/chart" uri="{C3380CC4-5D6E-409C-BE32-E72D297353CC}">
              <c16:uniqueId val="{00000013-736B-42F6-A4B9-5979ECFA8485}"/>
            </c:ext>
          </c:extLst>
        </c:ser>
        <c:ser>
          <c:idx val="4"/>
          <c:order val="4"/>
          <c:tx>
            <c:strRef>
              <c:f>Sheet2!$E$8</c:f>
              <c:strCache>
                <c:ptCount val="1"/>
                <c:pt idx="0">
                  <c:v>35001-40000</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736B-42F6-A4B9-5979ECFA8485}"/>
              </c:ext>
            </c:extLst>
          </c:dPt>
          <c:dPt>
            <c:idx val="1"/>
            <c:bubble3D val="0"/>
            <c:explosion val="108"/>
            <c:spPr>
              <a:noFill/>
              <a:ln w="6350">
                <a:solidFill>
                  <a:schemeClr val="tx1"/>
                </a:solidFill>
              </a:ln>
              <a:effectLst/>
            </c:spPr>
            <c:extLst>
              <c:ext xmlns:c16="http://schemas.microsoft.com/office/drawing/2014/chart" uri="{C3380CC4-5D6E-409C-BE32-E72D297353CC}">
                <c16:uniqueId val="{00000017-736B-42F6-A4B9-5979ECFA8485}"/>
              </c:ext>
            </c:extLst>
          </c:dPt>
          <c:cat>
            <c:strRef>
              <c:f>Sheet2!$F$3:$G$3</c:f>
              <c:strCache>
                <c:ptCount val="2"/>
                <c:pt idx="0">
                  <c:v>Sum of Salary</c:v>
                </c:pt>
                <c:pt idx="1">
                  <c:v>A</c:v>
                </c:pt>
              </c:strCache>
            </c:strRef>
          </c:cat>
          <c:val>
            <c:numRef>
              <c:f>Sheet2!$F$8:$G$8</c:f>
              <c:numCache>
                <c:formatCode>General</c:formatCode>
                <c:ptCount val="2"/>
                <c:pt idx="0">
                  <c:v>478083</c:v>
                </c:pt>
                <c:pt idx="1">
                  <c:v>419943</c:v>
                </c:pt>
              </c:numCache>
            </c:numRef>
          </c:val>
          <c:extLst>
            <c:ext xmlns:c16="http://schemas.microsoft.com/office/drawing/2014/chart" uri="{C3380CC4-5D6E-409C-BE32-E72D297353CC}">
              <c16:uniqueId val="{00000018-736B-42F6-A4B9-5979ECFA8485}"/>
            </c:ext>
          </c:extLst>
        </c:ser>
        <c:ser>
          <c:idx val="5"/>
          <c:order val="5"/>
          <c:tx>
            <c:strRef>
              <c:f>Sheet2!$E$9</c:f>
              <c:strCache>
                <c:ptCount val="1"/>
                <c:pt idx="0">
                  <c:v>40001-45000</c:v>
                </c:pt>
              </c:strCache>
            </c:strRef>
          </c:tx>
          <c:spPr>
            <a:ln>
              <a:noFill/>
            </a:ln>
          </c:spPr>
          <c:dPt>
            <c:idx val="0"/>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A-736B-42F6-A4B9-5979ECFA8485}"/>
              </c:ext>
            </c:extLst>
          </c:dPt>
          <c:dPt>
            <c:idx val="1"/>
            <c:bubble3D val="0"/>
            <c:spPr>
              <a:noFill/>
              <a:ln w="6350">
                <a:solidFill>
                  <a:schemeClr val="tx1"/>
                </a:solidFill>
              </a:ln>
              <a:effectLst/>
            </c:spPr>
            <c:extLst>
              <c:ext xmlns:c16="http://schemas.microsoft.com/office/drawing/2014/chart" uri="{C3380CC4-5D6E-409C-BE32-E72D297353CC}">
                <c16:uniqueId val="{0000001C-736B-42F6-A4B9-5979ECFA8485}"/>
              </c:ext>
            </c:extLst>
          </c:dPt>
          <c:cat>
            <c:strRef>
              <c:f>Sheet2!$F$3:$G$3</c:f>
              <c:strCache>
                <c:ptCount val="2"/>
                <c:pt idx="0">
                  <c:v>Sum of Salary</c:v>
                </c:pt>
                <c:pt idx="1">
                  <c:v>A</c:v>
                </c:pt>
              </c:strCache>
            </c:strRef>
          </c:cat>
          <c:val>
            <c:numRef>
              <c:f>Sheet2!$F$9:$G$9</c:f>
              <c:numCache>
                <c:formatCode>General</c:formatCode>
                <c:ptCount val="2"/>
                <c:pt idx="0">
                  <c:v>598684</c:v>
                </c:pt>
                <c:pt idx="1">
                  <c:v>299342</c:v>
                </c:pt>
              </c:numCache>
            </c:numRef>
          </c:val>
          <c:extLst>
            <c:ext xmlns:c16="http://schemas.microsoft.com/office/drawing/2014/chart" uri="{C3380CC4-5D6E-409C-BE32-E72D297353CC}">
              <c16:uniqueId val="{0000001D-736B-42F6-A4B9-5979ECFA848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4.xlsx]Sheet1!PivotTable10</c:name>
    <c:fmtId val="14"/>
  </c:pivotSource>
  <c:chart>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C70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3CCCC"/>
          </a:solidFill>
          <a:ln>
            <a:noFill/>
          </a:ln>
          <a:effectLst/>
        </c:spPr>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C70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3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C70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3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3CCCC"/>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ED083C-A1AD-4815-9E13-93024A027E64}"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8.3173033448667132E-3"/>
          <c:y val="0"/>
          <c:w val="0.65815880453007336"/>
          <c:h val="0.97241154587666656"/>
        </c:manualLayout>
      </c:layout>
      <c:barChart>
        <c:barDir val="col"/>
        <c:grouping val="stacked"/>
        <c:varyColors val="0"/>
        <c:ser>
          <c:idx val="0"/>
          <c:order val="0"/>
          <c:tx>
            <c:strRef>
              <c:f>Sheet1!$D$3</c:f>
              <c:strCache>
                <c:ptCount val="1"/>
                <c:pt idx="0">
                  <c:v>Sum of Overtime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c:f>
              <c:strCache>
                <c:ptCount val="1"/>
                <c:pt idx="0">
                  <c:v>Total</c:v>
                </c:pt>
              </c:strCache>
            </c:strRef>
          </c:cat>
          <c:val>
            <c:numRef>
              <c:f>Sheet1!$D$4</c:f>
              <c:numCache>
                <c:formatCode>_-[$$-409]* #,##0.00_ ;_-[$$-409]* \-#,##0.00\ ;_-[$$-409]* "-"??_ ;_-@_ </c:formatCode>
                <c:ptCount val="1"/>
                <c:pt idx="0">
                  <c:v>184080</c:v>
                </c:pt>
              </c:numCache>
            </c:numRef>
          </c:val>
          <c:extLst>
            <c:ext xmlns:c16="http://schemas.microsoft.com/office/drawing/2014/chart" uri="{C3380CC4-5D6E-409C-BE32-E72D297353CC}">
              <c16:uniqueId val="{00000000-E43D-4690-B9E3-FF7F48A668B0}"/>
            </c:ext>
          </c:extLst>
        </c:ser>
        <c:ser>
          <c:idx val="1"/>
          <c:order val="1"/>
          <c:tx>
            <c:strRef>
              <c:f>Sheet1!$E$3</c:f>
              <c:strCache>
                <c:ptCount val="1"/>
                <c:pt idx="0">
                  <c:v>Sum of Bonus</c:v>
                </c:pt>
              </c:strCache>
            </c:strRef>
          </c:tx>
          <c:spPr>
            <a:solidFill>
              <a:srgbClr val="5C70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c:f>
              <c:strCache>
                <c:ptCount val="1"/>
                <c:pt idx="0">
                  <c:v>Total</c:v>
                </c:pt>
              </c:strCache>
            </c:strRef>
          </c:cat>
          <c:val>
            <c:numRef>
              <c:f>Sheet1!$E$4</c:f>
              <c:numCache>
                <c:formatCode>_-[$$-409]* #,##0.00_ ;_-[$$-409]* \-#,##0.00\ ;_-[$$-409]* "-"??_ ;_-@_ </c:formatCode>
                <c:ptCount val="1"/>
                <c:pt idx="0">
                  <c:v>949140</c:v>
                </c:pt>
              </c:numCache>
            </c:numRef>
          </c:val>
          <c:extLst>
            <c:ext xmlns:c16="http://schemas.microsoft.com/office/drawing/2014/chart" uri="{C3380CC4-5D6E-409C-BE32-E72D297353CC}">
              <c16:uniqueId val="{00000001-E43D-4690-B9E3-FF7F48A668B0}"/>
            </c:ext>
          </c:extLst>
        </c:ser>
        <c:ser>
          <c:idx val="2"/>
          <c:order val="2"/>
          <c:tx>
            <c:strRef>
              <c:f>Sheet1!$F$3</c:f>
              <c:strCache>
                <c:ptCount val="1"/>
                <c:pt idx="0">
                  <c:v>Sum of Salary</c:v>
                </c:pt>
              </c:strCache>
            </c:strRef>
          </c:tx>
          <c:spPr>
            <a:solidFill>
              <a:srgbClr val="33CCCC"/>
            </a:solidFill>
            <a:ln>
              <a:noFill/>
            </a:ln>
            <a:effectLst/>
          </c:spPr>
          <c:invertIfNegative val="0"/>
          <c:dPt>
            <c:idx val="0"/>
            <c:invertIfNegative val="0"/>
            <c:bubble3D val="0"/>
            <c:spPr>
              <a:solidFill>
                <a:srgbClr val="33CCCC"/>
              </a:solidFill>
              <a:ln>
                <a:noFill/>
              </a:ln>
              <a:effectLst/>
            </c:spPr>
            <c:extLst>
              <c:ext xmlns:c16="http://schemas.microsoft.com/office/drawing/2014/chart" uri="{C3380CC4-5D6E-409C-BE32-E72D297353CC}">
                <c16:uniqueId val="{00000003-E43D-4690-B9E3-FF7F48A668B0}"/>
              </c:ext>
            </c:extLst>
          </c:dPt>
          <c:dLbls>
            <c:dLbl>
              <c:idx val="0"/>
              <c:tx>
                <c:rich>
                  <a:bodyPr/>
                  <a:lstStyle/>
                  <a:p>
                    <a:fld id="{27ED083C-A1AD-4815-9E13-93024A027E64}" type="VALUE">
                      <a:rPr lang="en-US"/>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43D-4690-B9E3-FF7F48A668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c:f>
              <c:strCache>
                <c:ptCount val="1"/>
                <c:pt idx="0">
                  <c:v>Total</c:v>
                </c:pt>
              </c:strCache>
            </c:strRef>
          </c:cat>
          <c:val>
            <c:numRef>
              <c:f>Sheet1!$F$4</c:f>
              <c:numCache>
                <c:formatCode>_-[$$-409]* #,##0.00_ ;_-[$$-409]* \-#,##0.00\ ;_-[$$-409]* "-"??_ ;_-@_ </c:formatCode>
                <c:ptCount val="1"/>
                <c:pt idx="0">
                  <c:v>2859008</c:v>
                </c:pt>
              </c:numCache>
            </c:numRef>
          </c:val>
          <c:extLst>
            <c:ext xmlns:c16="http://schemas.microsoft.com/office/drawing/2014/chart" uri="{C3380CC4-5D6E-409C-BE32-E72D297353CC}">
              <c16:uniqueId val="{00000002-E43D-4690-B9E3-FF7F48A668B0}"/>
            </c:ext>
          </c:extLst>
        </c:ser>
        <c:dLbls>
          <c:dLblPos val="ctr"/>
          <c:showLegendKey val="0"/>
          <c:showVal val="1"/>
          <c:showCatName val="0"/>
          <c:showSerName val="0"/>
          <c:showPercent val="0"/>
          <c:showBubbleSize val="0"/>
        </c:dLbls>
        <c:gapWidth val="150"/>
        <c:overlap val="100"/>
        <c:axId val="1099226384"/>
        <c:axId val="1099224416"/>
      </c:barChart>
      <c:catAx>
        <c:axId val="1099226384"/>
        <c:scaling>
          <c:orientation val="minMax"/>
        </c:scaling>
        <c:delete val="1"/>
        <c:axPos val="b"/>
        <c:numFmt formatCode="General" sourceLinked="1"/>
        <c:majorTickMark val="none"/>
        <c:minorTickMark val="none"/>
        <c:tickLblPos val="nextTo"/>
        <c:crossAx val="1099224416"/>
        <c:crosses val="autoZero"/>
        <c:auto val="1"/>
        <c:lblAlgn val="ctr"/>
        <c:lblOffset val="100"/>
        <c:noMultiLvlLbl val="0"/>
      </c:catAx>
      <c:valAx>
        <c:axId val="1099224416"/>
        <c:scaling>
          <c:orientation val="minMax"/>
        </c:scaling>
        <c:delete val="1"/>
        <c:axPos val="l"/>
        <c:numFmt formatCode="_-[$$-409]* #,##0.00_ ;_-[$$-409]* \-#,##0.00\ ;_-[$$-409]* &quot;-&quot;??_ ;_-@_ " sourceLinked="1"/>
        <c:majorTickMark val="none"/>
        <c:minorTickMark val="none"/>
        <c:tickLblPos val="nextTo"/>
        <c:crossAx val="1099226384"/>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52506487351030295"/>
          <c:y val="0.16384029833183986"/>
          <c:w val="0.28705272736255133"/>
          <c:h val="0.722321830959742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423916</xdr:colOff>
      <xdr:row>7</xdr:row>
      <xdr:rowOff>14439</xdr:rowOff>
    </xdr:from>
    <xdr:to>
      <xdr:col>10</xdr:col>
      <xdr:colOff>116970</xdr:colOff>
      <xdr:row>22</xdr:row>
      <xdr:rowOff>14438</xdr:rowOff>
    </xdr:to>
    <xdr:graphicFrame macro="">
      <xdr:nvGraphicFramePr>
        <xdr:cNvPr id="2" name="Chart 1">
          <a:extLst>
            <a:ext uri="{FF2B5EF4-FFF2-40B4-BE49-F238E27FC236}">
              <a16:creationId xmlns:a16="http://schemas.microsoft.com/office/drawing/2014/main" id="{161DB546-51AD-4EE2-80DA-B40982136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87164</xdr:colOff>
      <xdr:row>7</xdr:row>
      <xdr:rowOff>88780</xdr:rowOff>
    </xdr:from>
    <xdr:to>
      <xdr:col>2</xdr:col>
      <xdr:colOff>178604</xdr:colOff>
      <xdr:row>14</xdr:row>
      <xdr:rowOff>119260</xdr:rowOff>
    </xdr:to>
    <xdr:sp macro="" textlink="">
      <xdr:nvSpPr>
        <xdr:cNvPr id="3" name="Oval 2">
          <a:extLst>
            <a:ext uri="{FF2B5EF4-FFF2-40B4-BE49-F238E27FC236}">
              <a16:creationId xmlns:a16="http://schemas.microsoft.com/office/drawing/2014/main" id="{9D069F67-DE71-B96F-CAEA-62421257C7F3}"/>
            </a:ext>
          </a:extLst>
        </xdr:cNvPr>
        <xdr:cNvSpPr/>
      </xdr:nvSpPr>
      <xdr:spPr>
        <a:xfrm>
          <a:off x="87164" y="1416507"/>
          <a:ext cx="1315258" cy="1323571"/>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2400"/>
            <a:t>100</a:t>
          </a:r>
        </a:p>
      </xdr:txBody>
    </xdr:sp>
    <xdr:clientData/>
  </xdr:twoCellAnchor>
  <xdr:twoCellAnchor>
    <xdr:from>
      <xdr:col>0</xdr:col>
      <xdr:colOff>82896</xdr:colOff>
      <xdr:row>14</xdr:row>
      <xdr:rowOff>154159</xdr:rowOff>
    </xdr:from>
    <xdr:to>
      <xdr:col>2</xdr:col>
      <xdr:colOff>174336</xdr:colOff>
      <xdr:row>22</xdr:row>
      <xdr:rowOff>962</xdr:rowOff>
    </xdr:to>
    <xdr:sp macro="" textlink="">
      <xdr:nvSpPr>
        <xdr:cNvPr id="4" name="Oval 3">
          <a:extLst>
            <a:ext uri="{FF2B5EF4-FFF2-40B4-BE49-F238E27FC236}">
              <a16:creationId xmlns:a16="http://schemas.microsoft.com/office/drawing/2014/main" id="{06A1A662-30F1-F7A5-9655-A45120C25D52}"/>
            </a:ext>
          </a:extLst>
        </xdr:cNvPr>
        <xdr:cNvSpPr/>
      </xdr:nvSpPr>
      <xdr:spPr>
        <a:xfrm>
          <a:off x="82896" y="2774977"/>
          <a:ext cx="1315258" cy="1324621"/>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2400"/>
            <a:t>9</a:t>
          </a:r>
        </a:p>
      </xdr:txBody>
    </xdr:sp>
    <xdr:clientData/>
  </xdr:twoCellAnchor>
  <xdr:twoCellAnchor>
    <xdr:from>
      <xdr:col>2</xdr:col>
      <xdr:colOff>419846</xdr:colOff>
      <xdr:row>22</xdr:row>
      <xdr:rowOff>24266</xdr:rowOff>
    </xdr:from>
    <xdr:to>
      <xdr:col>10</xdr:col>
      <xdr:colOff>124918</xdr:colOff>
      <xdr:row>37</xdr:row>
      <xdr:rowOff>54963</xdr:rowOff>
    </xdr:to>
    <xdr:graphicFrame macro="">
      <xdr:nvGraphicFramePr>
        <xdr:cNvPr id="5" name="Chart 4">
          <a:extLst>
            <a:ext uri="{FF2B5EF4-FFF2-40B4-BE49-F238E27FC236}">
              <a16:creationId xmlns:a16="http://schemas.microsoft.com/office/drawing/2014/main" id="{397EC443-A765-4192-84EB-0B96C1123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22</xdr:row>
      <xdr:rowOff>51030</xdr:rowOff>
    </xdr:from>
    <xdr:to>
      <xdr:col>2</xdr:col>
      <xdr:colOff>429357</xdr:colOff>
      <xdr:row>37</xdr:row>
      <xdr:rowOff>57590</xdr:rowOff>
    </xdr:to>
    <mc:AlternateContent xmlns:mc="http://schemas.openxmlformats.org/markup-compatibility/2006" xmlns:a14="http://schemas.microsoft.com/office/drawing/2010/main">
      <mc:Choice Requires="a14">
        <xdr:graphicFrame macro="">
          <xdr:nvGraphicFramePr>
            <xdr:cNvPr id="6" name="Performance Score">
              <a:extLst>
                <a:ext uri="{FF2B5EF4-FFF2-40B4-BE49-F238E27FC236}">
                  <a16:creationId xmlns:a16="http://schemas.microsoft.com/office/drawing/2014/main" id="{970C1B24-BF13-45A1-B493-DE89D296115A}"/>
                </a:ext>
              </a:extLst>
            </xdr:cNvPr>
            <xdr:cNvGraphicFramePr/>
          </xdr:nvGraphicFramePr>
          <xdr:xfrm>
            <a:off x="0" y="0"/>
            <a:ext cx="0" cy="0"/>
          </xdr:xfrm>
          <a:graphic>
            <a:graphicData uri="http://schemas.microsoft.com/office/drawing/2010/slicer">
              <sle:slicer xmlns:sle="http://schemas.microsoft.com/office/drawing/2010/slicer" name="Performance Score"/>
            </a:graphicData>
          </a:graphic>
        </xdr:graphicFrame>
      </mc:Choice>
      <mc:Fallback xmlns="">
        <xdr:sp macro="" textlink="">
          <xdr:nvSpPr>
            <xdr:cNvPr id="0" name=""/>
            <xdr:cNvSpPr>
              <a:spLocks noTextEdit="1"/>
            </xdr:cNvSpPr>
          </xdr:nvSpPr>
          <xdr:spPr>
            <a:xfrm>
              <a:off x="0" y="4214421"/>
              <a:ext cx="1644140" cy="2822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62778</xdr:colOff>
      <xdr:row>7</xdr:row>
      <xdr:rowOff>833</xdr:rowOff>
    </xdr:from>
    <xdr:to>
      <xdr:col>23</xdr:col>
      <xdr:colOff>427863</xdr:colOff>
      <xdr:row>22</xdr:row>
      <xdr:rowOff>24883</xdr:rowOff>
    </xdr:to>
    <xdr:graphicFrame macro="">
      <xdr:nvGraphicFramePr>
        <xdr:cNvPr id="8" name="Chart 7">
          <a:extLst>
            <a:ext uri="{FF2B5EF4-FFF2-40B4-BE49-F238E27FC236}">
              <a16:creationId xmlns:a16="http://schemas.microsoft.com/office/drawing/2014/main" id="{7CC9F20E-8BA5-4C60-B6C0-B1C9FE8D1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436245</xdr:colOff>
      <xdr:row>7</xdr:row>
      <xdr:rowOff>16308</xdr:rowOff>
    </xdr:from>
    <xdr:to>
      <xdr:col>26</xdr:col>
      <xdr:colOff>454602</xdr:colOff>
      <xdr:row>22</xdr:row>
      <xdr:rowOff>20264</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FDAADBC8-5708-412D-88C5-9C2581CA7B3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406245" y="1363612"/>
              <a:ext cx="1840531" cy="2820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437518</xdr:colOff>
      <xdr:row>22</xdr:row>
      <xdr:rowOff>40773</xdr:rowOff>
    </xdr:from>
    <xdr:to>
      <xdr:col>26</xdr:col>
      <xdr:colOff>453284</xdr:colOff>
      <xdr:row>37</xdr:row>
      <xdr:rowOff>68958</xdr:rowOff>
    </xdr:to>
    <mc:AlternateContent xmlns:mc="http://schemas.openxmlformats.org/markup-compatibility/2006" xmlns:a14="http://schemas.microsoft.com/office/drawing/2010/main">
      <mc:Choice Requires="a14">
        <xdr:graphicFrame macro="">
          <xdr:nvGraphicFramePr>
            <xdr:cNvPr id="10" name="Salary">
              <a:extLst>
                <a:ext uri="{FF2B5EF4-FFF2-40B4-BE49-F238E27FC236}">
                  <a16:creationId xmlns:a16="http://schemas.microsoft.com/office/drawing/2014/main" id="{421FCAB6-875A-44D7-AA98-1D0C54466276}"/>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14407518" y="4204164"/>
              <a:ext cx="1837940" cy="2844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65691</xdr:rowOff>
    </xdr:from>
    <xdr:to>
      <xdr:col>26</xdr:col>
      <xdr:colOff>446147</xdr:colOff>
      <xdr:row>7</xdr:row>
      <xdr:rowOff>0</xdr:rowOff>
    </xdr:to>
    <mc:AlternateContent xmlns:mc="http://schemas.openxmlformats.org/markup-compatibility/2006" xmlns:tsle="http://schemas.microsoft.com/office/drawing/2012/timeslicer">
      <mc:Choice Requires="tsle">
        <xdr:graphicFrame macro="">
          <xdr:nvGraphicFramePr>
            <xdr:cNvPr id="11" name="Hire Date">
              <a:extLst>
                <a:ext uri="{FF2B5EF4-FFF2-40B4-BE49-F238E27FC236}">
                  <a16:creationId xmlns:a16="http://schemas.microsoft.com/office/drawing/2014/main" id="{9CA77E66-43C5-4790-9419-755345E75838}"/>
                </a:ext>
              </a:extLst>
            </xdr:cNvPr>
            <xdr:cNvGraphicFramePr/>
          </xdr:nvGraphicFramePr>
          <xdr:xfrm>
            <a:off x="0" y="0"/>
            <a:ext cx="0" cy="0"/>
          </xdr:xfrm>
          <a:graphic>
            <a:graphicData uri="http://schemas.microsoft.com/office/drawing/2012/timeslicer">
              <tsle:timeslicer name="Hire Date"/>
            </a:graphicData>
          </a:graphic>
        </xdr:graphicFrame>
      </mc:Choice>
      <mc:Fallback xmlns="">
        <xdr:sp macro="" textlink="">
          <xdr:nvSpPr>
            <xdr:cNvPr id="0" name=""/>
            <xdr:cNvSpPr>
              <a:spLocks noTextEdit="1"/>
            </xdr:cNvSpPr>
          </xdr:nvSpPr>
          <xdr:spPr>
            <a:xfrm>
              <a:off x="65690" y="289036"/>
              <a:ext cx="15699827" cy="10378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127319</xdr:colOff>
      <xdr:row>29</xdr:row>
      <xdr:rowOff>163765</xdr:rowOff>
    </xdr:from>
    <xdr:to>
      <xdr:col>14</xdr:col>
      <xdr:colOff>497633</xdr:colOff>
      <xdr:row>33</xdr:row>
      <xdr:rowOff>105704</xdr:rowOff>
    </xdr:to>
    <xdr:sp macro="" textlink="">
      <xdr:nvSpPr>
        <xdr:cNvPr id="12" name="Rectangle 11">
          <a:extLst>
            <a:ext uri="{FF2B5EF4-FFF2-40B4-BE49-F238E27FC236}">
              <a16:creationId xmlns:a16="http://schemas.microsoft.com/office/drawing/2014/main" id="{FF0EBA79-8DC3-4E22-8920-07CE81C7C8BB}"/>
            </a:ext>
          </a:extLst>
        </xdr:cNvPr>
        <xdr:cNvSpPr/>
      </xdr:nvSpPr>
      <xdr:spPr>
        <a:xfrm>
          <a:off x="6244054" y="5466663"/>
          <a:ext cx="2817008" cy="667653"/>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100"/>
            <a:t>  </a:t>
          </a:r>
          <a:r>
            <a:rPr lang="en-US" sz="1800"/>
            <a:t>Max Salary:</a:t>
          </a:r>
        </a:p>
        <a:p>
          <a:pPr algn="ctr"/>
          <a:r>
            <a:rPr lang="en-US" sz="1800"/>
            <a:t>44803</a:t>
          </a:r>
        </a:p>
      </xdr:txBody>
    </xdr:sp>
    <xdr:clientData/>
  </xdr:twoCellAnchor>
  <xdr:twoCellAnchor>
    <xdr:from>
      <xdr:col>10</xdr:col>
      <xdr:colOff>119651</xdr:colOff>
      <xdr:row>7</xdr:row>
      <xdr:rowOff>13660</xdr:rowOff>
    </xdr:from>
    <xdr:to>
      <xdr:col>16</xdr:col>
      <xdr:colOff>48929</xdr:colOff>
      <xdr:row>22</xdr:row>
      <xdr:rowOff>21298</xdr:rowOff>
    </xdr:to>
    <xdr:graphicFrame macro="">
      <xdr:nvGraphicFramePr>
        <xdr:cNvPr id="13" name="Chart 12">
          <a:extLst>
            <a:ext uri="{FF2B5EF4-FFF2-40B4-BE49-F238E27FC236}">
              <a16:creationId xmlns:a16="http://schemas.microsoft.com/office/drawing/2014/main" id="{B058B3D3-0F6C-43F6-8201-608287232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120701</xdr:colOff>
      <xdr:row>22</xdr:row>
      <xdr:rowOff>25449</xdr:rowOff>
    </xdr:from>
    <xdr:to>
      <xdr:col>14</xdr:col>
      <xdr:colOff>474453</xdr:colOff>
      <xdr:row>26</xdr:row>
      <xdr:rowOff>420</xdr:rowOff>
    </xdr:to>
    <xdr:sp macro="" textlink="">
      <xdr:nvSpPr>
        <xdr:cNvPr id="14" name="Rectangle 13">
          <a:extLst>
            <a:ext uri="{FF2B5EF4-FFF2-40B4-BE49-F238E27FC236}">
              <a16:creationId xmlns:a16="http://schemas.microsoft.com/office/drawing/2014/main" id="{16C44529-363B-826A-92CE-A0E21F849CAE}"/>
            </a:ext>
          </a:extLst>
        </xdr:cNvPr>
        <xdr:cNvSpPr/>
      </xdr:nvSpPr>
      <xdr:spPr>
        <a:xfrm>
          <a:off x="6231078" y="4022355"/>
          <a:ext cx="2797903" cy="6938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Total</a:t>
          </a:r>
          <a:r>
            <a:rPr lang="en-US" sz="1800" baseline="0"/>
            <a:t> Payroll:</a:t>
          </a:r>
        </a:p>
        <a:p>
          <a:pPr algn="ctr"/>
          <a:r>
            <a:rPr lang="en-US" sz="1800" b="0" i="0" u="none" strike="noStrike">
              <a:solidFill>
                <a:schemeClr val="lt1"/>
              </a:solidFill>
              <a:effectLst/>
              <a:latin typeface="+mn-lt"/>
              <a:ea typeface="+mn-ea"/>
              <a:cs typeface="+mn-cs"/>
            </a:rPr>
            <a:t>$3.992.228</a:t>
          </a:r>
          <a:endParaRPr lang="en-US" sz="1800"/>
        </a:p>
      </xdr:txBody>
    </xdr:sp>
    <xdr:clientData/>
  </xdr:twoCellAnchor>
  <xdr:twoCellAnchor>
    <xdr:from>
      <xdr:col>14</xdr:col>
      <xdr:colOff>507150</xdr:colOff>
      <xdr:row>29</xdr:row>
      <xdr:rowOff>168225</xdr:rowOff>
    </xdr:from>
    <xdr:to>
      <xdr:col>19</xdr:col>
      <xdr:colOff>132208</xdr:colOff>
      <xdr:row>33</xdr:row>
      <xdr:rowOff>111463</xdr:rowOff>
    </xdr:to>
    <xdr:sp macro="" textlink="">
      <xdr:nvSpPr>
        <xdr:cNvPr id="15" name="Rectangle 14">
          <a:extLst>
            <a:ext uri="{FF2B5EF4-FFF2-40B4-BE49-F238E27FC236}">
              <a16:creationId xmlns:a16="http://schemas.microsoft.com/office/drawing/2014/main" id="{1A8C786E-E978-DFD1-44E0-3FFC660EAD38}"/>
            </a:ext>
          </a:extLst>
        </xdr:cNvPr>
        <xdr:cNvSpPr/>
      </xdr:nvSpPr>
      <xdr:spPr>
        <a:xfrm>
          <a:off x="9055011" y="5504629"/>
          <a:ext cx="2677866" cy="673989"/>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Max Bonus:</a:t>
          </a:r>
          <a:endParaRPr lang="en-US" sz="1800" b="0" i="0" u="none" strike="noStrike">
            <a:solidFill>
              <a:schemeClr val="lt1"/>
            </a:solidFill>
            <a:effectLst/>
            <a:latin typeface="+mn-lt"/>
            <a:ea typeface="+mn-ea"/>
            <a:cs typeface="+mn-cs"/>
          </a:endParaRPr>
        </a:p>
        <a:p>
          <a:pPr algn="ctr"/>
          <a:r>
            <a:rPr lang="en-US" sz="1800" b="0" i="0" u="none" strike="noStrike">
              <a:solidFill>
                <a:schemeClr val="lt1"/>
              </a:solidFill>
              <a:effectLst/>
              <a:latin typeface="+mn-lt"/>
              <a:ea typeface="+mn-ea"/>
              <a:cs typeface="+mn-cs"/>
            </a:rPr>
            <a:t>53050</a:t>
          </a:r>
          <a:r>
            <a:rPr lang="en-US" sz="1800"/>
            <a:t> </a:t>
          </a:r>
        </a:p>
      </xdr:txBody>
    </xdr:sp>
    <xdr:clientData/>
  </xdr:twoCellAnchor>
  <xdr:twoCellAnchor>
    <xdr:from>
      <xdr:col>17</xdr:col>
      <xdr:colOff>250128</xdr:colOff>
      <xdr:row>7</xdr:row>
      <xdr:rowOff>138265</xdr:rowOff>
    </xdr:from>
    <xdr:to>
      <xdr:col>19</xdr:col>
      <xdr:colOff>537288</xdr:colOff>
      <xdr:row>14</xdr:row>
      <xdr:rowOff>112745</xdr:rowOff>
    </xdr:to>
    <xdr:sp macro="" textlink="">
      <xdr:nvSpPr>
        <xdr:cNvPr id="16" name="Rectangle 15">
          <a:extLst>
            <a:ext uri="{FF2B5EF4-FFF2-40B4-BE49-F238E27FC236}">
              <a16:creationId xmlns:a16="http://schemas.microsoft.com/office/drawing/2014/main" id="{CEE114BD-CBC4-2BAD-922A-82DF7F15A0BD}"/>
            </a:ext>
          </a:extLst>
        </xdr:cNvPr>
        <xdr:cNvSpPr/>
      </xdr:nvSpPr>
      <xdr:spPr>
        <a:xfrm>
          <a:off x="10626546" y="1456214"/>
          <a:ext cx="1507915" cy="1253551"/>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tx1"/>
              </a:solidFill>
              <a:effectLst/>
              <a:latin typeface="+mn-lt"/>
              <a:ea typeface="+mn-ea"/>
              <a:cs typeface="+mn-cs"/>
            </a:rPr>
            <a:t>15001-20000</a:t>
          </a:r>
        </a:p>
        <a:p>
          <a:pPr algn="ctr"/>
          <a:r>
            <a:rPr lang="en-US" sz="1100" b="0" i="0" u="none" strike="noStrike">
              <a:solidFill>
                <a:schemeClr val="tx1"/>
              </a:solidFill>
              <a:effectLst/>
              <a:latin typeface="+mn-lt"/>
              <a:ea typeface="+mn-ea"/>
              <a:cs typeface="+mn-cs"/>
            </a:rPr>
            <a:t>20001-25000</a:t>
          </a:r>
          <a:r>
            <a:rPr lang="en-US">
              <a:solidFill>
                <a:schemeClr val="tx1"/>
              </a:solidFill>
            </a:rPr>
            <a:t> </a:t>
          </a:r>
        </a:p>
        <a:p>
          <a:pPr algn="ctr"/>
          <a:r>
            <a:rPr lang="en-US" sz="1100" b="0" i="0" u="none" strike="noStrike">
              <a:solidFill>
                <a:schemeClr val="tx1"/>
              </a:solidFill>
              <a:effectLst/>
              <a:latin typeface="+mn-lt"/>
              <a:ea typeface="+mn-ea"/>
              <a:cs typeface="+mn-cs"/>
            </a:rPr>
            <a:t>25001-30000</a:t>
          </a:r>
          <a:r>
            <a:rPr lang="en-US">
              <a:solidFill>
                <a:schemeClr val="tx1"/>
              </a:solidFill>
            </a:rPr>
            <a:t> </a:t>
          </a:r>
        </a:p>
        <a:p>
          <a:pPr algn="ctr"/>
          <a:r>
            <a:rPr lang="en-US" sz="1100" b="0" i="0" u="none" strike="noStrike">
              <a:solidFill>
                <a:schemeClr val="tx1"/>
              </a:solidFill>
              <a:effectLst/>
              <a:latin typeface="+mn-lt"/>
              <a:ea typeface="+mn-ea"/>
              <a:cs typeface="+mn-cs"/>
            </a:rPr>
            <a:t>30001-35000</a:t>
          </a:r>
          <a:r>
            <a:rPr lang="en-US">
              <a:solidFill>
                <a:schemeClr val="tx1"/>
              </a:solidFill>
            </a:rPr>
            <a:t> </a:t>
          </a:r>
        </a:p>
        <a:p>
          <a:pPr algn="ctr"/>
          <a:r>
            <a:rPr lang="en-US" sz="1100" b="0" i="0" u="none" strike="noStrike">
              <a:solidFill>
                <a:schemeClr val="tx1"/>
              </a:solidFill>
              <a:effectLst/>
              <a:latin typeface="+mn-lt"/>
              <a:ea typeface="+mn-ea"/>
              <a:cs typeface="+mn-cs"/>
            </a:rPr>
            <a:t>35001-40000</a:t>
          </a:r>
          <a:r>
            <a:rPr lang="en-US">
              <a:solidFill>
                <a:schemeClr val="tx1"/>
              </a:solidFill>
            </a:rPr>
            <a:t> </a:t>
          </a:r>
        </a:p>
        <a:p>
          <a:pPr algn="ctr"/>
          <a:r>
            <a:rPr lang="en-US" sz="1100" b="0" i="0" u="none" strike="noStrike">
              <a:solidFill>
                <a:schemeClr val="tx1"/>
              </a:solidFill>
              <a:effectLst/>
              <a:latin typeface="+mn-lt"/>
              <a:ea typeface="+mn-ea"/>
              <a:cs typeface="+mn-cs"/>
            </a:rPr>
            <a:t>40001-45000</a:t>
          </a:r>
          <a:r>
            <a:rPr lang="en-US">
              <a:solidFill>
                <a:schemeClr val="tx1"/>
              </a:solidFill>
            </a:rPr>
            <a:t> </a:t>
          </a:r>
          <a:endParaRPr lang="en-US" sz="1100">
            <a:solidFill>
              <a:schemeClr val="tx1"/>
            </a:solidFill>
          </a:endParaRPr>
        </a:p>
      </xdr:txBody>
    </xdr:sp>
    <xdr:clientData/>
  </xdr:twoCellAnchor>
  <xdr:twoCellAnchor>
    <xdr:from>
      <xdr:col>19</xdr:col>
      <xdr:colOff>139959</xdr:colOff>
      <xdr:row>29</xdr:row>
      <xdr:rowOff>167353</xdr:rowOff>
    </xdr:from>
    <xdr:to>
      <xdr:col>23</xdr:col>
      <xdr:colOff>424971</xdr:colOff>
      <xdr:row>33</xdr:row>
      <xdr:rowOff>119735</xdr:rowOff>
    </xdr:to>
    <xdr:sp macro="" textlink="">
      <xdr:nvSpPr>
        <xdr:cNvPr id="17" name="Rectangle 16">
          <a:extLst>
            <a:ext uri="{FF2B5EF4-FFF2-40B4-BE49-F238E27FC236}">
              <a16:creationId xmlns:a16="http://schemas.microsoft.com/office/drawing/2014/main" id="{4F44235B-F36F-FED6-7FD2-AAE85DA4F066}"/>
            </a:ext>
          </a:extLst>
        </xdr:cNvPr>
        <xdr:cNvSpPr/>
      </xdr:nvSpPr>
      <xdr:spPr>
        <a:xfrm>
          <a:off x="11761755" y="5470251"/>
          <a:ext cx="2731706" cy="67809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Max</a:t>
          </a:r>
          <a:r>
            <a:rPr lang="en-US" sz="1800" baseline="0"/>
            <a:t> Overtime:</a:t>
          </a:r>
          <a:endParaRPr lang="en-US" sz="1800" b="0" i="0" u="none" strike="noStrike" baseline="0">
            <a:solidFill>
              <a:schemeClr val="lt1"/>
            </a:solidFill>
            <a:effectLst/>
            <a:latin typeface="+mn-lt"/>
            <a:ea typeface="+mn-ea"/>
            <a:cs typeface="+mn-cs"/>
          </a:endParaRPr>
        </a:p>
        <a:p>
          <a:pPr algn="ctr"/>
          <a:r>
            <a:rPr lang="en-US" sz="1800">
              <a:solidFill>
                <a:schemeClr val="lt1"/>
              </a:solidFill>
              <a:latin typeface="+mn-lt"/>
              <a:ea typeface="+mn-ea"/>
              <a:cs typeface="+mn-cs"/>
            </a:rPr>
            <a:t>7890</a:t>
          </a:r>
          <a:r>
            <a:rPr lang="en-US" sz="1800"/>
            <a:t> </a:t>
          </a:r>
        </a:p>
      </xdr:txBody>
    </xdr:sp>
    <xdr:clientData/>
  </xdr:twoCellAnchor>
  <xdr:twoCellAnchor>
    <xdr:from>
      <xdr:col>10</xdr:col>
      <xdr:colOff>128868</xdr:colOff>
      <xdr:row>33</xdr:row>
      <xdr:rowOff>117661</xdr:rowOff>
    </xdr:from>
    <xdr:to>
      <xdr:col>14</xdr:col>
      <xdr:colOff>492776</xdr:colOff>
      <xdr:row>37</xdr:row>
      <xdr:rowOff>54311</xdr:rowOff>
    </xdr:to>
    <xdr:sp macro="" textlink="">
      <xdr:nvSpPr>
        <xdr:cNvPr id="18" name="Rectangle 17">
          <a:extLst>
            <a:ext uri="{FF2B5EF4-FFF2-40B4-BE49-F238E27FC236}">
              <a16:creationId xmlns:a16="http://schemas.microsoft.com/office/drawing/2014/main" id="{C1908191-427F-9401-DA6A-B77CA5A05705}"/>
            </a:ext>
          </a:extLst>
        </xdr:cNvPr>
        <xdr:cNvSpPr/>
      </xdr:nvSpPr>
      <xdr:spPr>
        <a:xfrm>
          <a:off x="6234483" y="6184816"/>
          <a:ext cx="2806154" cy="66740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1800"/>
            <a:t>Min Salary:</a:t>
          </a:r>
        </a:p>
        <a:p>
          <a:pPr algn="ctr"/>
          <a:r>
            <a:rPr lang="en-US" sz="1800" b="0" i="0" u="none" strike="noStrike">
              <a:solidFill>
                <a:schemeClr val="lt1"/>
              </a:solidFill>
              <a:effectLst/>
              <a:latin typeface="+mn-lt"/>
              <a:ea typeface="+mn-ea"/>
              <a:cs typeface="+mn-cs"/>
            </a:rPr>
            <a:t>15005</a:t>
          </a:r>
          <a:endParaRPr lang="en-US" sz="1800"/>
        </a:p>
      </xdr:txBody>
    </xdr:sp>
    <xdr:clientData/>
  </xdr:twoCellAnchor>
  <xdr:twoCellAnchor>
    <xdr:from>
      <xdr:col>14</xdr:col>
      <xdr:colOff>502099</xdr:colOff>
      <xdr:row>33</xdr:row>
      <xdr:rowOff>119386</xdr:rowOff>
    </xdr:from>
    <xdr:to>
      <xdr:col>19</xdr:col>
      <xdr:colOff>132208</xdr:colOff>
      <xdr:row>37</xdr:row>
      <xdr:rowOff>53334</xdr:rowOff>
    </xdr:to>
    <xdr:sp macro="" textlink="">
      <xdr:nvSpPr>
        <xdr:cNvPr id="19" name="Rectangle 18">
          <a:extLst>
            <a:ext uri="{FF2B5EF4-FFF2-40B4-BE49-F238E27FC236}">
              <a16:creationId xmlns:a16="http://schemas.microsoft.com/office/drawing/2014/main" id="{9E5A1BA2-96B8-F14F-12A3-B4E12DAC05B0}"/>
            </a:ext>
          </a:extLst>
        </xdr:cNvPr>
        <xdr:cNvSpPr/>
      </xdr:nvSpPr>
      <xdr:spPr>
        <a:xfrm>
          <a:off x="9049960" y="6186541"/>
          <a:ext cx="2682917" cy="66469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1800" b="0" i="0" u="none" strike="noStrike">
              <a:solidFill>
                <a:schemeClr val="lt1"/>
              </a:solidFill>
              <a:effectLst/>
              <a:latin typeface="+mn-lt"/>
              <a:ea typeface="+mn-ea"/>
              <a:cs typeface="+mn-cs"/>
            </a:rPr>
            <a:t>Min</a:t>
          </a:r>
          <a:r>
            <a:rPr lang="en-US" sz="1800"/>
            <a:t> Bonus:</a:t>
          </a:r>
        </a:p>
        <a:p>
          <a:pPr algn="ctr"/>
          <a:r>
            <a:rPr lang="en-US" sz="1800" b="0" i="0" u="none" strike="noStrike">
              <a:solidFill>
                <a:schemeClr val="lt1"/>
              </a:solidFill>
              <a:effectLst/>
              <a:latin typeface="+mn-lt"/>
              <a:ea typeface="+mn-ea"/>
              <a:cs typeface="+mn-cs"/>
            </a:rPr>
            <a:t>1.800</a:t>
          </a:r>
          <a:r>
            <a:rPr lang="en-US" sz="1800"/>
            <a:t> </a:t>
          </a:r>
        </a:p>
      </xdr:txBody>
    </xdr:sp>
    <xdr:clientData/>
  </xdr:twoCellAnchor>
  <xdr:twoCellAnchor>
    <xdr:from>
      <xdr:col>19</xdr:col>
      <xdr:colOff>145143</xdr:colOff>
      <xdr:row>33</xdr:row>
      <xdr:rowOff>131800</xdr:rowOff>
    </xdr:from>
    <xdr:to>
      <xdr:col>23</xdr:col>
      <xdr:colOff>427201</xdr:colOff>
      <xdr:row>37</xdr:row>
      <xdr:rowOff>64995</xdr:rowOff>
    </xdr:to>
    <xdr:sp macro="" textlink="">
      <xdr:nvSpPr>
        <xdr:cNvPr id="20" name="Rectangle 19">
          <a:extLst>
            <a:ext uri="{FF2B5EF4-FFF2-40B4-BE49-F238E27FC236}">
              <a16:creationId xmlns:a16="http://schemas.microsoft.com/office/drawing/2014/main" id="{ACE0C9DE-8F7C-0231-3E7E-597A3C9B6824}"/>
            </a:ext>
          </a:extLst>
        </xdr:cNvPr>
        <xdr:cNvSpPr/>
      </xdr:nvSpPr>
      <xdr:spPr>
        <a:xfrm>
          <a:off x="11766939" y="6160412"/>
          <a:ext cx="2728752" cy="65891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800"/>
            <a:t>Min Overtime:</a:t>
          </a:r>
          <a:endParaRPr lang="en-US" sz="1100" b="0" i="0" u="none" strike="noStrike">
            <a:solidFill>
              <a:schemeClr val="lt1"/>
            </a:solidFill>
            <a:effectLst/>
            <a:latin typeface="+mn-lt"/>
            <a:ea typeface="+mn-ea"/>
            <a:cs typeface="+mn-cs"/>
          </a:endParaRPr>
        </a:p>
        <a:p>
          <a:pPr algn="ctr"/>
          <a:r>
            <a:rPr lang="en-US" sz="1800" b="0" i="0" u="none" strike="noStrike">
              <a:solidFill>
                <a:schemeClr val="lt1"/>
              </a:solidFill>
              <a:effectLst/>
              <a:latin typeface="+mn-lt"/>
              <a:ea typeface="+mn-ea"/>
              <a:cs typeface="+mn-cs"/>
            </a:rPr>
            <a:t>60</a:t>
          </a:r>
          <a:endParaRPr lang="en-US" sz="18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518481</xdr:colOff>
      <xdr:row>36</xdr:row>
      <xdr:rowOff>95250</xdr:rowOff>
    </xdr:to>
    <xdr:pic>
      <xdr:nvPicPr>
        <xdr:cNvPr id="2" name="Picture 1">
          <a:extLst>
            <a:ext uri="{FF2B5EF4-FFF2-40B4-BE49-F238E27FC236}">
              <a16:creationId xmlns:a16="http://schemas.microsoft.com/office/drawing/2014/main" id="{589F4920-6BCD-4267-8724-8B33989C6567}"/>
            </a:ext>
          </a:extLst>
        </xdr:cNvPr>
        <xdr:cNvPicPr>
          <a:picLocks noChangeAspect="1"/>
        </xdr:cNvPicPr>
      </xdr:nvPicPr>
      <xdr:blipFill>
        <a:blip xmlns:r="http://schemas.openxmlformats.org/officeDocument/2006/relationships" r:embed="rId1"/>
        <a:stretch>
          <a:fillRect/>
        </a:stretch>
      </xdr:blipFill>
      <xdr:spPr>
        <a:xfrm>
          <a:off x="0" y="0"/>
          <a:ext cx="14601874" cy="69532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AP\Excel%20Data%20Analytics\Sessiya%204-6\Sessiya%205\HR%20Dashboard%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image"/>
      <sheetName val="Dashboard"/>
      <sheetName val="Operations"/>
      <sheetName val="HR Data"/>
    </sheetNames>
    <sheetDataSet>
      <sheetData sheetId="0"/>
      <sheetData sheetId="1"/>
      <sheetData sheetId="2">
        <row r="2">
          <cell r="A2">
            <v>100</v>
          </cell>
        </row>
      </sheetData>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lil Alakbarzada" refreshedDate="44986.800687037037" createdVersion="8" refreshedVersion="8" minRefreshableVersion="3" recordCount="100" xr:uid="{D8289EA9-0F6D-4A45-8727-15CC0E73CC93}">
  <cacheSource type="worksheet">
    <worksheetSource name="Data"/>
  </cacheSource>
  <cacheFields count="10">
    <cacheField name="Full Name" numFmtId="0">
      <sharedItems/>
    </cacheField>
    <cacheField name="Hire Date" numFmtId="14">
      <sharedItems containsSemiMixedTypes="0" containsNonDate="0" containsDate="1" containsString="0" minDate="2015-01-06T00:00:00" maxDate="2017-12-31T00:00:00" count="91">
        <d v="2017-11-20T00:00:00"/>
        <d v="2017-01-15T00:00:00"/>
        <d v="2017-11-04T00:00:00"/>
        <d v="2017-03-14T00:00:00"/>
        <d v="2015-09-22T00:00:00"/>
        <d v="2015-07-29T00:00:00"/>
        <d v="2015-06-08T00:00:00"/>
        <d v="2015-08-15T00:00:00"/>
        <d v="2017-07-27T00:00:00"/>
        <d v="2016-11-07T00:00:00"/>
        <d v="2015-04-28T00:00:00"/>
        <d v="2016-12-20T00:00:00"/>
        <d v="2017-10-09T00:00:00"/>
        <d v="2017-11-18T00:00:00"/>
        <d v="2017-12-30T00:00:00"/>
        <d v="2017-05-10T00:00:00"/>
        <d v="2017-03-29T00:00:00"/>
        <d v="2017-04-23T00:00:00"/>
        <d v="2016-11-26T00:00:00"/>
        <d v="2015-06-01T00:00:00"/>
        <d v="2015-09-16T00:00:00"/>
        <d v="2017-08-30T00:00:00"/>
        <d v="2017-04-22T00:00:00"/>
        <d v="2017-01-23T00:00:00"/>
        <d v="2015-10-05T00:00:00"/>
        <d v="2015-06-20T00:00:00"/>
        <d v="2017-03-10T00:00:00"/>
        <d v="2017-06-20T00:00:00"/>
        <d v="2017-12-05T00:00:00"/>
        <d v="2015-02-25T00:00:00"/>
        <d v="2017-07-13T00:00:00"/>
        <d v="2017-03-31T00:00:00"/>
        <d v="2015-07-03T00:00:00"/>
        <d v="2017-08-19T00:00:00"/>
        <d v="2015-05-24T00:00:00"/>
        <d v="2017-04-01T00:00:00"/>
        <d v="2017-02-02T00:00:00"/>
        <d v="2017-11-30T00:00:00"/>
        <d v="2016-12-26T00:00:00"/>
        <d v="2017-12-18T00:00:00"/>
        <d v="2015-09-09T00:00:00"/>
        <d v="2017-05-22T00:00:00"/>
        <d v="2017-05-19T00:00:00"/>
        <d v="2015-03-24T00:00:00"/>
        <d v="2017-10-22T00:00:00"/>
        <d v="2017-04-29T00:00:00"/>
        <d v="2017-09-06T00:00:00"/>
        <d v="2017-09-20T00:00:00"/>
        <d v="2015-02-28T00:00:00"/>
        <d v="2015-01-29T00:00:00"/>
        <d v="2017-11-09T00:00:00"/>
        <d v="2015-07-20T00:00:00"/>
        <d v="2015-03-03T00:00:00"/>
        <d v="2017-04-18T00:00:00"/>
        <d v="2017-08-26T00:00:00"/>
        <d v="2017-04-11T00:00:00"/>
        <d v="2017-07-28T00:00:00"/>
        <d v="2016-11-12T00:00:00"/>
        <d v="2015-06-29T00:00:00"/>
        <d v="2017-03-07T00:00:00"/>
        <d v="2015-06-25T00:00:00"/>
        <d v="2017-10-25T00:00:00"/>
        <d v="2017-07-19T00:00:00"/>
        <d v="2017-08-07T00:00:00"/>
        <d v="2015-01-06T00:00:00"/>
        <d v="2017-06-03T00:00:00"/>
        <d v="2017-02-20T00:00:00"/>
        <d v="2017-01-29T00:00:00"/>
        <d v="2017-02-21T00:00:00"/>
        <d v="2015-03-02T00:00:00"/>
        <d v="2017-03-25T00:00:00"/>
        <d v="2017-11-25T00:00:00"/>
        <d v="2015-09-07T00:00:00"/>
        <d v="2017-06-15T00:00:00"/>
        <d v="2017-04-04T00:00:00"/>
        <d v="2017-08-11T00:00:00"/>
        <d v="2017-07-05T00:00:00"/>
        <d v="2017-10-07T00:00:00"/>
        <d v="2017-06-28T00:00:00"/>
        <d v="2017-01-08T00:00:00"/>
        <d v="2015-03-26T00:00:00"/>
        <d v="2015-04-07T00:00:00"/>
        <d v="2015-08-23T00:00:00"/>
        <d v="2017-06-02T00:00:00"/>
        <d v="2017-06-26T00:00:00"/>
        <d v="2015-04-20T00:00:00"/>
        <d v="2017-10-28T00:00:00"/>
        <d v="2017-10-24T00:00:00"/>
        <d v="2017-09-02T00:00:00"/>
        <d v="2017-12-28T00:00:00"/>
        <d v="2015-06-09T00:00:00"/>
      </sharedItems>
      <fieldGroup par="9" base="1">
        <rangePr groupBy="months" startDate="2015-01-06T00:00:00" endDate="2017-12-31T00:00:00"/>
        <groupItems count="14">
          <s v="&lt;06.01.2015"/>
          <s v="yan"/>
          <s v="fev"/>
          <s v="mar"/>
          <s v="apr"/>
          <s v="may"/>
          <s v="iyn"/>
          <s v="iyl"/>
          <s v="avq"/>
          <s v="sen"/>
          <s v="okt"/>
          <s v="noy"/>
          <s v="dek"/>
          <s v="&gt;31.12.2017"/>
        </groupItems>
      </fieldGroup>
    </cacheField>
    <cacheField name="Salary" numFmtId="164">
      <sharedItems containsSemiMixedTypes="0" containsString="0" containsNumber="1" containsInteger="1" minValue="15005" maxValue="44803" count="100">
        <n v="16822"/>
        <n v="32030"/>
        <n v="27099"/>
        <n v="44803"/>
        <n v="15005"/>
        <n v="16158"/>
        <n v="27649"/>
        <n v="37754"/>
        <n v="21646"/>
        <n v="31475"/>
        <n v="21260"/>
        <n v="43810"/>
        <n v="23762"/>
        <n v="35489"/>
        <n v="17246"/>
        <n v="16551"/>
        <n v="31163"/>
        <n v="41167"/>
        <n v="43524"/>
        <n v="25799"/>
        <n v="33842"/>
        <n v="24498"/>
        <n v="34091"/>
        <n v="17220"/>
        <n v="44690"/>
        <n v="32799"/>
        <n v="39034"/>
        <n v="40442"/>
        <n v="37968"/>
        <n v="20219"/>
        <n v="43839"/>
        <n v="17952"/>
        <n v="24111"/>
        <n v="37048"/>
        <n v="33942"/>
        <n v="20930"/>
        <n v="23890"/>
        <n v="42409"/>
        <n v="21940"/>
        <n v="15029"/>
        <n v="32585"/>
        <n v="16859"/>
        <n v="30585"/>
        <n v="18383"/>
        <n v="41327"/>
        <n v="33473"/>
        <n v="36577"/>
        <n v="35636"/>
        <n v="23859"/>
        <n v="35141"/>
        <n v="26114"/>
        <n v="27770"/>
        <n v="43609"/>
        <n v="17221"/>
        <n v="42478"/>
        <n v="26169"/>
        <n v="26420"/>
        <n v="41426"/>
        <n v="36373"/>
        <n v="27009"/>
        <n v="29699"/>
        <n v="23138"/>
        <n v="33852"/>
        <n v="18981"/>
        <n v="27212"/>
        <n v="16789"/>
        <n v="19632"/>
        <n v="22592"/>
        <n v="20556"/>
        <n v="27933"/>
        <n v="24839"/>
        <n v="18667"/>
        <n v="21320"/>
        <n v="35371"/>
        <n v="44500"/>
        <n v="24827"/>
        <n v="36846"/>
        <n v="23784"/>
        <n v="29924"/>
        <n v="24753"/>
        <n v="20050"/>
        <n v="19595"/>
        <n v="18299"/>
        <n v="34961"/>
        <n v="18591"/>
        <n v="25825"/>
        <n v="38493"/>
        <n v="28258"/>
        <n v="15461"/>
        <n v="34276"/>
        <n v="22316"/>
        <n v="23718"/>
        <n v="31948"/>
        <n v="19822"/>
        <n v="36353"/>
        <n v="40660"/>
        <n v="18898"/>
        <n v="33866"/>
        <n v="31539"/>
        <n v="25745"/>
      </sharedItems>
      <fieldGroup base="2">
        <rangePr autoStart="0" startNum="15001" endNum="44803" groupInterval="5000"/>
        <groupItems count="8">
          <s v="&lt;15001"/>
          <s v="15001-20000"/>
          <s v="20001-25000"/>
          <s v="25001-30000"/>
          <s v="30001-35000"/>
          <s v="35001-40000"/>
          <s v="40001-45000"/>
          <s v="&gt;45001"/>
        </groupItems>
      </fieldGroup>
    </cacheField>
    <cacheField name="Bonus" numFmtId="164">
      <sharedItems containsSemiMixedTypes="0" containsString="0" containsNumber="1" minValue="1800" maxValue="53050"/>
    </cacheField>
    <cacheField name="Overtime" numFmtId="164">
      <sharedItems containsSemiMixedTypes="0" containsString="0" containsNumber="1" minValue="60" maxValue="7890"/>
    </cacheField>
    <cacheField name="Department" numFmtId="0">
      <sharedItems count="9">
        <s v="Accounting"/>
        <s v="Sales"/>
        <s v="IT"/>
        <s v="Human Resources"/>
        <s v="Customer Support"/>
        <s v="Administration"/>
        <s v="R&amp;D"/>
        <s v="Finance"/>
        <s v="Marketing"/>
      </sharedItems>
    </cacheField>
    <cacheField name="Sick Days" numFmtId="0">
      <sharedItems containsSemiMixedTypes="0" containsString="0" containsNumber="1" containsInteger="1" minValue="1" maxValue="6"/>
    </cacheField>
    <cacheField name="Performance Score" numFmtId="0">
      <sharedItems containsSemiMixedTypes="0" containsString="0" containsNumber="1" containsInteger="1" minValue="1" maxValue="5" count="5">
        <n v="5"/>
        <n v="4"/>
        <n v="3"/>
        <n v="1"/>
        <n v="2"/>
      </sharedItems>
    </cacheField>
    <cacheField name="Quarters" numFmtId="0" databaseField="0">
      <fieldGroup base="1">
        <rangePr groupBy="quarters" startDate="2015-01-06T00:00:00" endDate="2017-12-31T00:00:00"/>
        <groupItems count="6">
          <s v="&lt;06.01.2015"/>
          <s v="Qtr1"/>
          <s v="Qtr2"/>
          <s v="Qtr3"/>
          <s v="Qtr4"/>
          <s v="&gt;31.12.2017"/>
        </groupItems>
      </fieldGroup>
    </cacheField>
    <cacheField name="Years" numFmtId="0" databaseField="0">
      <fieldGroup base="1">
        <rangePr groupBy="years" startDate="2015-01-06T00:00:00" endDate="2017-12-31T00:00:00"/>
        <groupItems count="5">
          <s v="&lt;06.01.2015"/>
          <s v="2015"/>
          <s v="2016"/>
          <s v="2017"/>
          <s v="&gt;31.12.2017"/>
        </groupItems>
      </fieldGroup>
    </cacheField>
  </cacheFields>
  <extLst>
    <ext xmlns:x14="http://schemas.microsoft.com/office/spreadsheetml/2009/9/main" uri="{725AE2AE-9491-48be-B2B4-4EB974FC3084}">
      <x14:pivotCacheDefinition pivotCacheId="1382184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Asher Benson"/>
    <x v="0"/>
    <x v="0"/>
    <n v="2850"/>
    <n v="1860"/>
    <x v="0"/>
    <n v="1"/>
    <x v="0"/>
  </r>
  <r>
    <s v="Hu Frost"/>
    <x v="1"/>
    <x v="1"/>
    <n v="2800"/>
    <n v="1110"/>
    <x v="1"/>
    <n v="3"/>
    <x v="1"/>
  </r>
  <r>
    <s v="Gabriel Ayala"/>
    <x v="2"/>
    <x v="2"/>
    <n v="3570"/>
    <n v="3840"/>
    <x v="2"/>
    <n v="5"/>
    <x v="1"/>
  </r>
  <r>
    <s v="Damian Silva"/>
    <x v="3"/>
    <x v="3"/>
    <n v="6810"/>
    <n v="4860"/>
    <x v="3"/>
    <n v="2"/>
    <x v="2"/>
  </r>
  <r>
    <s v="Deacon Whitaker"/>
    <x v="4"/>
    <x v="4"/>
    <n v="7770.0000000000009"/>
    <n v="2460"/>
    <x v="1"/>
    <n v="5"/>
    <x v="2"/>
  </r>
  <r>
    <s v="Ralph Alvarez"/>
    <x v="5"/>
    <x v="5"/>
    <n v="6450"/>
    <n v="4920"/>
    <x v="3"/>
    <n v="3"/>
    <x v="0"/>
  </r>
  <r>
    <s v="Sean Stark"/>
    <x v="6"/>
    <x v="6"/>
    <n v="4200"/>
    <n v="3840"/>
    <x v="0"/>
    <n v="4"/>
    <x v="2"/>
  </r>
  <r>
    <s v="Clayton Cotton"/>
    <x v="7"/>
    <x v="7"/>
    <n v="3690"/>
    <n v="1380"/>
    <x v="4"/>
    <n v="1"/>
    <x v="2"/>
  </r>
  <r>
    <s v="Gareth Wyatt"/>
    <x v="8"/>
    <x v="8"/>
    <n v="3210"/>
    <n v="2940"/>
    <x v="1"/>
    <n v="4"/>
    <x v="0"/>
  </r>
  <r>
    <s v="Melvin Pickett"/>
    <x v="9"/>
    <x v="9"/>
    <n v="9190"/>
    <n v="2280"/>
    <x v="3"/>
    <n v="4"/>
    <x v="3"/>
  </r>
  <r>
    <s v="Porter Le"/>
    <x v="10"/>
    <x v="10"/>
    <n v="1800"/>
    <n v="810"/>
    <x v="3"/>
    <n v="4"/>
    <x v="0"/>
  </r>
  <r>
    <s v="Ishmael Grimes"/>
    <x v="11"/>
    <x v="11"/>
    <n v="4690"/>
    <n v="1460"/>
    <x v="1"/>
    <n v="1"/>
    <x v="4"/>
  </r>
  <r>
    <s v="Marvin Velasquez"/>
    <x v="12"/>
    <x v="12"/>
    <n v="3840"/>
    <n v="370"/>
    <x v="1"/>
    <n v="6"/>
    <x v="0"/>
  </r>
  <r>
    <s v="Lamar Howard"/>
    <x v="13"/>
    <x v="13"/>
    <n v="5470"/>
    <n v="2100"/>
    <x v="5"/>
    <n v="5"/>
    <x v="2"/>
  </r>
  <r>
    <s v="Hyatt Edwards"/>
    <x v="14"/>
    <x v="14"/>
    <n v="6900"/>
    <n v="4560"/>
    <x v="4"/>
    <n v="1"/>
    <x v="4"/>
  </r>
  <r>
    <s v="Oscar Dickerson"/>
    <x v="15"/>
    <x v="15"/>
    <n v="6450"/>
    <n v="3840.0000000000005"/>
    <x v="0"/>
    <n v="3"/>
    <x v="4"/>
  </r>
  <r>
    <s v="Cruz Chase"/>
    <x v="16"/>
    <x v="16"/>
    <n v="2670"/>
    <n v="4380"/>
    <x v="6"/>
    <n v="1"/>
    <x v="4"/>
  </r>
  <r>
    <s v="Brennan Walls"/>
    <x v="17"/>
    <x v="17"/>
    <n v="3610"/>
    <n v="60"/>
    <x v="7"/>
    <n v="4"/>
    <x v="3"/>
  </r>
  <r>
    <s v="Marvin Moses"/>
    <x v="18"/>
    <x v="18"/>
    <n v="9370"/>
    <n v="5180"/>
    <x v="6"/>
    <n v="5"/>
    <x v="3"/>
  </r>
  <r>
    <s v="Kasper Riley"/>
    <x v="19"/>
    <x v="19"/>
    <n v="10800"/>
    <n v="1560"/>
    <x v="3"/>
    <n v="4"/>
    <x v="3"/>
  </r>
  <r>
    <s v="Garrison Bray"/>
    <x v="20"/>
    <x v="20"/>
    <n v="7650"/>
    <n v="5560"/>
    <x v="3"/>
    <n v="3"/>
    <x v="0"/>
  </r>
  <r>
    <s v="Eaton Stevens"/>
    <x v="21"/>
    <x v="21"/>
    <n v="18270"/>
    <n v="4980"/>
    <x v="3"/>
    <n v="5"/>
    <x v="4"/>
  </r>
  <r>
    <s v="Judah Suarez"/>
    <x v="22"/>
    <x v="22"/>
    <n v="17000"/>
    <n v="5860"/>
    <x v="2"/>
    <n v="5"/>
    <x v="1"/>
  </r>
  <r>
    <s v="Ferdinand Small"/>
    <x v="23"/>
    <x v="23"/>
    <n v="4350"/>
    <n v="3060"/>
    <x v="1"/>
    <n v="3"/>
    <x v="2"/>
  </r>
  <r>
    <s v="Jerry Goodwin"/>
    <x v="24"/>
    <x v="24"/>
    <n v="6650.0000000000009"/>
    <n v="60"/>
    <x v="0"/>
    <n v="6"/>
    <x v="0"/>
  </r>
  <r>
    <s v="Tad Carson"/>
    <x v="25"/>
    <x v="25"/>
    <n v="8130"/>
    <n v="1240"/>
    <x v="5"/>
    <n v="3"/>
    <x v="0"/>
  </r>
  <r>
    <s v="Hashim Vazquez"/>
    <x v="26"/>
    <x v="26"/>
    <n v="5910"/>
    <n v="60"/>
    <x v="7"/>
    <n v="3"/>
    <x v="0"/>
  </r>
  <r>
    <s v="Steel Stuart"/>
    <x v="27"/>
    <x v="27"/>
    <n v="8880"/>
    <n v="7890"/>
    <x v="8"/>
    <n v="2"/>
    <x v="0"/>
  </r>
  <r>
    <s v="Fritz Klein"/>
    <x v="28"/>
    <x v="28"/>
    <n v="3130"/>
    <n v="220"/>
    <x v="8"/>
    <n v="3"/>
    <x v="1"/>
  </r>
  <r>
    <s v="Nasim Hanson"/>
    <x v="29"/>
    <x v="29"/>
    <n v="4430"/>
    <n v="840"/>
    <x v="1"/>
    <n v="5"/>
    <x v="0"/>
  </r>
  <r>
    <s v="Jasper Battle"/>
    <x v="30"/>
    <x v="30"/>
    <n v="2650"/>
    <n v="1660"/>
    <x v="3"/>
    <n v="2"/>
    <x v="4"/>
  </r>
  <r>
    <s v="Hasad Faulkner"/>
    <x v="31"/>
    <x v="31"/>
    <n v="2370"/>
    <n v="940"/>
    <x v="7"/>
    <n v="3"/>
    <x v="1"/>
  </r>
  <r>
    <s v="Lawrence Hicks"/>
    <x v="32"/>
    <x v="32"/>
    <n v="4890"/>
    <n v="4380"/>
    <x v="7"/>
    <n v="5"/>
    <x v="0"/>
  </r>
  <r>
    <s v="Ciaran Smith"/>
    <x v="33"/>
    <x v="33"/>
    <n v="5040"/>
    <n v="630"/>
    <x v="6"/>
    <n v="3"/>
    <x v="2"/>
  </r>
  <r>
    <s v="Patrick Hawkins"/>
    <x v="34"/>
    <x v="34"/>
    <n v="6270"/>
    <n v="5280"/>
    <x v="6"/>
    <n v="6"/>
    <x v="1"/>
  </r>
  <r>
    <s v="Jonah Mcintyre"/>
    <x v="35"/>
    <x v="35"/>
    <n v="9110"/>
    <n v="1300"/>
    <x v="3"/>
    <n v="5"/>
    <x v="4"/>
  </r>
  <r>
    <s v="Noah Rowland"/>
    <x v="36"/>
    <x v="36"/>
    <n v="9090"/>
    <n v="3410"/>
    <x v="7"/>
    <n v="3"/>
    <x v="3"/>
  </r>
  <r>
    <s v="Kenyon Petersen"/>
    <x v="37"/>
    <x v="37"/>
    <n v="5850"/>
    <n v="7740"/>
    <x v="6"/>
    <n v="3"/>
    <x v="3"/>
  </r>
  <r>
    <s v="Oren Chase"/>
    <x v="38"/>
    <x v="38"/>
    <n v="2550"/>
    <n v="810"/>
    <x v="4"/>
    <n v="1"/>
    <x v="3"/>
  </r>
  <r>
    <s v="Tiger Schultz"/>
    <x v="39"/>
    <x v="39"/>
    <n v="2290"/>
    <n v="990"/>
    <x v="3"/>
    <n v="2"/>
    <x v="1"/>
  </r>
  <r>
    <s v="Malcolm Hutchinson"/>
    <x v="40"/>
    <x v="40"/>
    <n v="3100"/>
    <n v="1700"/>
    <x v="3"/>
    <n v="1"/>
    <x v="4"/>
  </r>
  <r>
    <s v="Caldwell Shepherd"/>
    <x v="41"/>
    <x v="41"/>
    <n v="3870"/>
    <n v="530"/>
    <x v="8"/>
    <n v="3"/>
    <x v="0"/>
  </r>
  <r>
    <s v="Elmo Abbott"/>
    <x v="11"/>
    <x v="42"/>
    <n v="7680"/>
    <n v="2100"/>
    <x v="4"/>
    <n v="1"/>
    <x v="2"/>
  </r>
  <r>
    <s v="Adam Curtis"/>
    <x v="42"/>
    <x v="43"/>
    <n v="9900"/>
    <n v="60"/>
    <x v="2"/>
    <n v="2"/>
    <x v="1"/>
  </r>
  <r>
    <s v="Dustin Harris"/>
    <x v="42"/>
    <x v="44"/>
    <n v="2350"/>
    <n v="1360"/>
    <x v="7"/>
    <n v="4"/>
    <x v="4"/>
  </r>
  <r>
    <s v="Graham Gibbs"/>
    <x v="43"/>
    <x v="45"/>
    <n v="9890"/>
    <n v="5500"/>
    <x v="3"/>
    <n v="3"/>
    <x v="2"/>
  </r>
  <r>
    <s v="Flynn Guthrie"/>
    <x v="44"/>
    <x v="46"/>
    <n v="6690"/>
    <n v="60"/>
    <x v="0"/>
    <n v="3"/>
    <x v="3"/>
  </r>
  <r>
    <s v="Wesley Conner"/>
    <x v="45"/>
    <x v="47"/>
    <n v="5130"/>
    <n v="3120"/>
    <x v="4"/>
    <n v="5"/>
    <x v="3"/>
  </r>
  <r>
    <s v="Connor Baxter"/>
    <x v="46"/>
    <x v="48"/>
    <n v="2950"/>
    <n v="60"/>
    <x v="2"/>
    <n v="1"/>
    <x v="2"/>
  </r>
  <r>
    <s v="Oscar Emerson"/>
    <x v="47"/>
    <x v="49"/>
    <n v="1950"/>
    <n v="60"/>
    <x v="2"/>
    <n v="1"/>
    <x v="0"/>
  </r>
  <r>
    <s v="Brandon Mckenzie"/>
    <x v="48"/>
    <x v="50"/>
    <n v="2150"/>
    <n v="60"/>
    <x v="5"/>
    <n v="5"/>
    <x v="2"/>
  </r>
  <r>
    <s v="Aidan Tyler"/>
    <x v="49"/>
    <x v="51"/>
    <n v="6950"/>
    <n v="60"/>
    <x v="1"/>
    <n v="6"/>
    <x v="1"/>
  </r>
  <r>
    <s v="Clayton Riddle"/>
    <x v="50"/>
    <x v="52"/>
    <n v="6360"/>
    <n v="650"/>
    <x v="6"/>
    <n v="1"/>
    <x v="0"/>
  </r>
  <r>
    <s v="Chester Baldwin"/>
    <x v="51"/>
    <x v="53"/>
    <n v="8610"/>
    <n v="4470"/>
    <x v="7"/>
    <n v="1"/>
    <x v="2"/>
  </r>
  <r>
    <s v="Dennis Nguyen"/>
    <x v="52"/>
    <x v="54"/>
    <n v="8610"/>
    <n v="60"/>
    <x v="4"/>
    <n v="3"/>
    <x v="4"/>
  </r>
  <r>
    <s v="Drake Dominguez"/>
    <x v="53"/>
    <x v="55"/>
    <n v="6810"/>
    <n v="60"/>
    <x v="5"/>
    <n v="1"/>
    <x v="2"/>
  </r>
  <r>
    <s v="Geoffrey Small"/>
    <x v="54"/>
    <x v="56"/>
    <n v="2510"/>
    <n v="5170.0000000000009"/>
    <x v="7"/>
    <n v="6"/>
    <x v="3"/>
  </r>
  <r>
    <s v="Rajah Weber"/>
    <x v="55"/>
    <x v="57"/>
    <n v="12600"/>
    <n v="60"/>
    <x v="1"/>
    <n v="4"/>
    <x v="1"/>
  </r>
  <r>
    <s v="Harding Turner"/>
    <x v="56"/>
    <x v="58"/>
    <n v="2750"/>
    <n v="60"/>
    <x v="1"/>
    <n v="2"/>
    <x v="1"/>
  </r>
  <r>
    <s v="Jesse Barron"/>
    <x v="57"/>
    <x v="59"/>
    <n v="10400"/>
    <n v="60"/>
    <x v="7"/>
    <n v="1"/>
    <x v="0"/>
  </r>
  <r>
    <s v="Kenneth Booker"/>
    <x v="58"/>
    <x v="60"/>
    <n v="10400"/>
    <n v="60"/>
    <x v="0"/>
    <n v="4"/>
    <x v="1"/>
  </r>
  <r>
    <s v="Judah Robles"/>
    <x v="59"/>
    <x v="61"/>
    <n v="12600"/>
    <n v="60"/>
    <x v="1"/>
    <n v="4"/>
    <x v="3"/>
  </r>
  <r>
    <s v="Bradley Valenzuela"/>
    <x v="53"/>
    <x v="62"/>
    <n v="1860"/>
    <n v="2220"/>
    <x v="2"/>
    <n v="3"/>
    <x v="2"/>
  </r>
  <r>
    <s v="Vaughan Dean"/>
    <x v="48"/>
    <x v="63"/>
    <n v="5550"/>
    <n v="60"/>
    <x v="5"/>
    <n v="5"/>
    <x v="1"/>
  </r>
  <r>
    <s v="Bevis Whitfield"/>
    <x v="60"/>
    <x v="64"/>
    <n v="3570.0000000000005"/>
    <n v="1860"/>
    <x v="3"/>
    <n v="1"/>
    <x v="3"/>
  </r>
  <r>
    <s v="Tiger Mcintosh"/>
    <x v="61"/>
    <x v="65"/>
    <n v="1830"/>
    <n v="450"/>
    <x v="7"/>
    <n v="4"/>
    <x v="2"/>
  </r>
  <r>
    <s v="Brennan Ellison"/>
    <x v="33"/>
    <x v="66"/>
    <n v="7290"/>
    <n v="540"/>
    <x v="6"/>
    <n v="3"/>
    <x v="3"/>
  </r>
  <r>
    <s v="Chandler Stevens"/>
    <x v="9"/>
    <x v="67"/>
    <n v="6350"/>
    <n v="590"/>
    <x v="4"/>
    <n v="2"/>
    <x v="3"/>
  </r>
  <r>
    <s v="Wayne Golden"/>
    <x v="62"/>
    <x v="68"/>
    <n v="6180"/>
    <n v="3480"/>
    <x v="5"/>
    <n v="6"/>
    <x v="3"/>
  </r>
  <r>
    <s v="Emerson Sellers"/>
    <x v="63"/>
    <x v="69"/>
    <n v="4950"/>
    <n v="60"/>
    <x v="3"/>
    <n v="6"/>
    <x v="0"/>
  </r>
  <r>
    <s v="Ferris Knight"/>
    <x v="57"/>
    <x v="70"/>
    <n v="2370"/>
    <n v="2040"/>
    <x v="7"/>
    <n v="3"/>
    <x v="1"/>
  </r>
  <r>
    <s v="Darius Sandoval"/>
    <x v="64"/>
    <x v="71"/>
    <n v="14100"/>
    <n v="7020"/>
    <x v="5"/>
    <n v="4"/>
    <x v="3"/>
  </r>
  <r>
    <s v="Giacomo Parks"/>
    <x v="65"/>
    <x v="72"/>
    <n v="9060"/>
    <n v="60"/>
    <x v="5"/>
    <n v="3"/>
    <x v="2"/>
  </r>
  <r>
    <s v="Christopher Guerra"/>
    <x v="66"/>
    <x v="73"/>
    <n v="5250"/>
    <n v="60"/>
    <x v="6"/>
    <n v="1"/>
    <x v="2"/>
  </r>
  <r>
    <s v="Kasimir Mccoy"/>
    <x v="67"/>
    <x v="74"/>
    <n v="3290"/>
    <n v="60"/>
    <x v="8"/>
    <n v="3"/>
    <x v="2"/>
  </r>
  <r>
    <s v="Oscar Keller"/>
    <x v="68"/>
    <x v="75"/>
    <n v="5210"/>
    <n v="700"/>
    <x v="0"/>
    <n v="1"/>
    <x v="3"/>
  </r>
  <r>
    <s v="Luke Luna"/>
    <x v="69"/>
    <x v="76"/>
    <n v="4550"/>
    <n v="2160"/>
    <x v="6"/>
    <n v="1"/>
    <x v="4"/>
  </r>
  <r>
    <s v="Linus Christian"/>
    <x v="70"/>
    <x v="77"/>
    <n v="5850"/>
    <n v="3420.0000000000005"/>
    <x v="1"/>
    <n v="2"/>
    <x v="0"/>
  </r>
  <r>
    <s v="Kuame Griffith"/>
    <x v="71"/>
    <x v="78"/>
    <n v="2610"/>
    <n v="3700.0000000000005"/>
    <x v="0"/>
    <n v="6"/>
    <x v="4"/>
  </r>
  <r>
    <s v="Felix Boyle"/>
    <x v="72"/>
    <x v="79"/>
    <n v="9150"/>
    <n v="1680"/>
    <x v="1"/>
    <n v="3"/>
    <x v="3"/>
  </r>
  <r>
    <s v="Barry Mccarthy"/>
    <x v="73"/>
    <x v="80"/>
    <n v="9110"/>
    <n v="3160"/>
    <x v="3"/>
    <n v="6"/>
    <x v="0"/>
  </r>
  <r>
    <s v="Hyatt Rogers"/>
    <x v="74"/>
    <x v="81"/>
    <n v="3930"/>
    <n v="6540"/>
    <x v="4"/>
    <n v="2"/>
    <x v="3"/>
  </r>
  <r>
    <s v="Simon Pratt"/>
    <x v="75"/>
    <x v="82"/>
    <n v="8650"/>
    <n v="2340"/>
    <x v="1"/>
    <n v="4"/>
    <x v="3"/>
  </r>
  <r>
    <s v="Griffith Nielsen"/>
    <x v="76"/>
    <x v="83"/>
    <n v="6440.0000000000009"/>
    <n v="60"/>
    <x v="1"/>
    <n v="6"/>
    <x v="3"/>
  </r>
  <r>
    <s v="Dexter Hawkins"/>
    <x v="77"/>
    <x v="84"/>
    <n v="16800"/>
    <n v="60"/>
    <x v="7"/>
    <n v="4"/>
    <x v="2"/>
  </r>
  <r>
    <s v="Kermit Duffy"/>
    <x v="78"/>
    <x v="85"/>
    <n v="11760"/>
    <n v="4820"/>
    <x v="5"/>
    <n v="5"/>
    <x v="4"/>
  </r>
  <r>
    <s v="Byron Foreman"/>
    <x v="79"/>
    <x v="86"/>
    <n v="6440.0000000000009"/>
    <n v="60"/>
    <x v="5"/>
    <n v="3"/>
    <x v="2"/>
  </r>
  <r>
    <s v="Hayes Gonzales"/>
    <x v="80"/>
    <x v="87"/>
    <n v="27050"/>
    <n v="60"/>
    <x v="4"/>
    <n v="4"/>
    <x v="0"/>
  </r>
  <r>
    <s v="Phelan Davidson"/>
    <x v="81"/>
    <x v="88"/>
    <n v="5780"/>
    <n v="60"/>
    <x v="1"/>
    <n v="3"/>
    <x v="4"/>
  </r>
  <r>
    <s v="Gavin Bell"/>
    <x v="82"/>
    <x v="89"/>
    <n v="43050"/>
    <n v="60"/>
    <x v="7"/>
    <n v="4"/>
    <x v="1"/>
  </r>
  <r>
    <s v="Hector Madden"/>
    <x v="83"/>
    <x v="90"/>
    <n v="38050"/>
    <n v="60"/>
    <x v="1"/>
    <n v="2"/>
    <x v="0"/>
  </r>
  <r>
    <s v="Bernard Wilkinson"/>
    <x v="84"/>
    <x v="91"/>
    <n v="3350"/>
    <n v="60"/>
    <x v="5"/>
    <n v="6"/>
    <x v="4"/>
  </r>
  <r>
    <s v="Henry Holcomb"/>
    <x v="85"/>
    <x v="92"/>
    <n v="36050"/>
    <n v="60"/>
    <x v="0"/>
    <n v="5"/>
    <x v="0"/>
  </r>
  <r>
    <s v="Stewart Wilcox"/>
    <x v="86"/>
    <x v="93"/>
    <n v="9450"/>
    <n v="60"/>
    <x v="7"/>
    <n v="5"/>
    <x v="0"/>
  </r>
  <r>
    <s v="Rashad Zimmerman"/>
    <x v="87"/>
    <x v="94"/>
    <n v="42050"/>
    <n v="60"/>
    <x v="1"/>
    <n v="2"/>
    <x v="2"/>
  </r>
  <r>
    <s v="Declan Larson"/>
    <x v="88"/>
    <x v="95"/>
    <n v="29050"/>
    <n v="60"/>
    <x v="1"/>
    <n v="5"/>
    <x v="0"/>
  </r>
  <r>
    <s v="Sawyer Byers"/>
    <x v="16"/>
    <x v="96"/>
    <n v="53050"/>
    <n v="60"/>
    <x v="0"/>
    <n v="5"/>
    <x v="0"/>
  </r>
  <r>
    <s v="Stone Bush"/>
    <x v="89"/>
    <x v="97"/>
    <n v="33050"/>
    <n v="60"/>
    <x v="5"/>
    <n v="6"/>
    <x v="4"/>
  </r>
  <r>
    <s v="Wylie Burris"/>
    <x v="17"/>
    <x v="98"/>
    <n v="29050"/>
    <n v="60"/>
    <x v="0"/>
    <n v="2"/>
    <x v="0"/>
  </r>
  <r>
    <s v="Rafael Griffith"/>
    <x v="90"/>
    <x v="99"/>
    <n v="53050"/>
    <n v="60"/>
    <x v="0"/>
    <n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6A46D8-C2A3-4594-99FF-D3A0C4364A11}"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3"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numFmtId="164" showAll="0">
      <items count="9">
        <item x="0"/>
        <item x="1"/>
        <item x="2"/>
        <item x="3"/>
        <item x="4"/>
        <item x="5"/>
        <item x="6"/>
        <item x="7"/>
        <item t="default"/>
      </items>
    </pivotField>
    <pivotField numFmtId="164" showAll="0"/>
    <pivotField numFmtId="164" showAll="0"/>
    <pivotField axis="axisRow" dataField="1" showAll="0">
      <items count="10">
        <item x="0"/>
        <item x="5"/>
        <item x="4"/>
        <item x="7"/>
        <item x="3"/>
        <item x="2"/>
        <item x="8"/>
        <item x="6"/>
        <item x="1"/>
        <item t="default"/>
      </items>
    </pivotField>
    <pivotField showAll="0"/>
    <pivotField showAll="0">
      <items count="6">
        <item x="3"/>
        <item x="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10">
    <i>
      <x/>
    </i>
    <i>
      <x v="1"/>
    </i>
    <i>
      <x v="2"/>
    </i>
    <i>
      <x v="3"/>
    </i>
    <i>
      <x v="4"/>
    </i>
    <i>
      <x v="5"/>
    </i>
    <i>
      <x v="6"/>
    </i>
    <i>
      <x v="7"/>
    </i>
    <i>
      <x v="8"/>
    </i>
    <i t="grand">
      <x/>
    </i>
  </rowItems>
  <colItems count="1">
    <i/>
  </colItems>
  <dataFields count="1">
    <dataField name="Count of Department" fld="5" subtotal="count" baseField="0" baseItem="0"/>
  </dataFields>
  <chartFormats count="10">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5" count="1" selected="0">
            <x v="0"/>
          </reference>
        </references>
      </pivotArea>
    </chartFormat>
    <chartFormat chart="3" format="13">
      <pivotArea type="data" outline="0" fieldPosition="0">
        <references count="2">
          <reference field="4294967294" count="1" selected="0">
            <x v="0"/>
          </reference>
          <reference field="5" count="1" selected="0">
            <x v="1"/>
          </reference>
        </references>
      </pivotArea>
    </chartFormat>
    <chartFormat chart="3" format="14">
      <pivotArea type="data" outline="0" fieldPosition="0">
        <references count="2">
          <reference field="4294967294" count="1" selected="0">
            <x v="0"/>
          </reference>
          <reference field="5" count="1" selected="0">
            <x v="2"/>
          </reference>
        </references>
      </pivotArea>
    </chartFormat>
    <chartFormat chart="3" format="15">
      <pivotArea type="data" outline="0" fieldPosition="0">
        <references count="2">
          <reference field="4294967294" count="1" selected="0">
            <x v="0"/>
          </reference>
          <reference field="5" count="1" selected="0">
            <x v="3"/>
          </reference>
        </references>
      </pivotArea>
    </chartFormat>
    <chartFormat chart="3" format="16">
      <pivotArea type="data" outline="0" fieldPosition="0">
        <references count="2">
          <reference field="4294967294" count="1" selected="0">
            <x v="0"/>
          </reference>
          <reference field="5" count="1" selected="0">
            <x v="4"/>
          </reference>
        </references>
      </pivotArea>
    </chartFormat>
    <chartFormat chart="3" format="17">
      <pivotArea type="data" outline="0" fieldPosition="0">
        <references count="2">
          <reference field="4294967294" count="1" selected="0">
            <x v="0"/>
          </reference>
          <reference field="5" count="1" selected="0">
            <x v="5"/>
          </reference>
        </references>
      </pivotArea>
    </chartFormat>
    <chartFormat chart="3" format="18">
      <pivotArea type="data" outline="0" fieldPosition="0">
        <references count="2">
          <reference field="4294967294" count="1" selected="0">
            <x v="0"/>
          </reference>
          <reference field="5" count="1" selected="0">
            <x v="6"/>
          </reference>
        </references>
      </pivotArea>
    </chartFormat>
    <chartFormat chart="3" format="19">
      <pivotArea type="data" outline="0" fieldPosition="0">
        <references count="2">
          <reference field="4294967294" count="1" selected="0">
            <x v="0"/>
          </reference>
          <reference field="5" count="1" selected="0">
            <x v="7"/>
          </reference>
        </references>
      </pivotArea>
    </chartFormat>
    <chartFormat chart="3" format="20">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5ED9C0-1F95-4058-AEB5-02F0F69FA531}"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D3:F4" firstHeaderRow="0" firstDataRow="1" firstDataCol="0"/>
  <pivotFields count="10">
    <pivotField showAll="0"/>
    <pivotField numFmtId="14" showAll="0">
      <items count="15">
        <item x="0"/>
        <item x="1"/>
        <item x="2"/>
        <item x="3"/>
        <item x="4"/>
        <item x="5"/>
        <item x="6"/>
        <item x="7"/>
        <item x="8"/>
        <item x="9"/>
        <item x="10"/>
        <item x="11"/>
        <item x="12"/>
        <item x="13"/>
        <item t="default"/>
      </items>
    </pivotField>
    <pivotField dataField="1" numFmtId="164" showAll="0">
      <items count="9">
        <item x="0"/>
        <item x="1"/>
        <item x="2"/>
        <item x="3"/>
        <item x="4"/>
        <item x="5"/>
        <item x="6"/>
        <item x="7"/>
        <item t="default"/>
      </items>
    </pivotField>
    <pivotField dataField="1" numFmtId="164" showAll="0"/>
    <pivotField dataField="1" numFmtId="164" showAll="0"/>
    <pivotField showAll="0">
      <items count="10">
        <item x="0"/>
        <item x="5"/>
        <item x="4"/>
        <item x="7"/>
        <item x="3"/>
        <item x="2"/>
        <item x="8"/>
        <item x="6"/>
        <item x="1"/>
        <item t="default"/>
      </items>
    </pivotField>
    <pivotField showAll="0"/>
    <pivotField showAll="0">
      <items count="6">
        <item x="3"/>
        <item x="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3">
    <i>
      <x/>
    </i>
    <i i="1">
      <x v="1"/>
    </i>
    <i i="2">
      <x v="2"/>
    </i>
  </colItems>
  <dataFields count="3">
    <dataField name="Sum of Overtime" fld="4" baseField="0" baseItem="0"/>
    <dataField name="Sum of Bonus" fld="3" baseField="0" baseItem="0"/>
    <dataField name="Sum of Salary" fld="2" baseField="0" baseItem="0"/>
  </dataFields>
  <formats count="6">
    <format dxfId="154">
      <pivotArea type="all" dataOnly="0" outline="0" fieldPosition="0"/>
    </format>
    <format dxfId="153">
      <pivotArea outline="0" collapsedLevelsAreSubtotals="1" fieldPosition="0"/>
    </format>
    <format dxfId="152">
      <pivotArea dataOnly="0" labelOnly="1" outline="0" fieldPosition="0">
        <references count="1">
          <reference field="4294967294" count="3">
            <x v="0"/>
            <x v="1"/>
            <x v="2"/>
          </reference>
        </references>
      </pivotArea>
    </format>
    <format dxfId="151">
      <pivotArea type="all" dataOnly="0" outline="0" fieldPosition="0"/>
    </format>
    <format dxfId="150">
      <pivotArea outline="0" collapsedLevelsAreSubtotals="1" fieldPosition="0"/>
    </format>
    <format dxfId="149">
      <pivotArea dataOnly="0" labelOnly="1" outline="0" fieldPosition="0">
        <references count="1">
          <reference field="4294967294" count="3">
            <x v="0"/>
            <x v="1"/>
            <x v="2"/>
          </reference>
        </references>
      </pivotArea>
    </format>
  </formats>
  <chartFormats count="10">
    <chartFormat chart="6" format="9" series="1">
      <pivotArea type="data" outline="0" fieldPosition="0">
        <references count="1">
          <reference field="4294967294" count="1" selected="0">
            <x v="2"/>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0"/>
          </reference>
        </references>
      </pivotArea>
    </chartFormat>
    <chartFormat chart="7" format="15"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2"/>
          </reference>
        </references>
      </pivotArea>
    </chartFormat>
    <chartFormat chart="7" format="17" series="1">
      <pivotArea type="data" outline="0" fieldPosition="0">
        <references count="1">
          <reference field="4294967294" count="1" selected="0">
            <x v="1"/>
          </reference>
        </references>
      </pivotArea>
    </chartFormat>
    <chartFormat chart="14" format="7"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1"/>
          </reference>
        </references>
      </pivotArea>
    </chartFormat>
    <chartFormat chart="14" format="9" series="1">
      <pivotArea type="data" outline="0" fieldPosition="0">
        <references count="1">
          <reference field="4294967294" count="1" selected="0">
            <x v="2"/>
          </reference>
        </references>
      </pivotArea>
    </chartFormat>
    <chartFormat chart="14" format="10">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007583-F001-4E37-A8E6-49269A597591}" name="PivotTable9"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5:K29" firstHeaderRow="1" firstDataRow="2" firstDataCol="1"/>
  <pivotFields count="10">
    <pivotField showAll="0"/>
    <pivotField numFmtId="14" showAll="0">
      <items count="15">
        <item x="0"/>
        <item x="1"/>
        <item x="2"/>
        <item x="3"/>
        <item x="4"/>
        <item x="5"/>
        <item x="6"/>
        <item x="7"/>
        <item x="8"/>
        <item x="9"/>
        <item x="10"/>
        <item x="11"/>
        <item x="12"/>
        <item x="13"/>
        <item t="default"/>
      </items>
    </pivotField>
    <pivotField dataField="1" numFmtId="164" showAll="0">
      <items count="9">
        <item x="0"/>
        <item x="1"/>
        <item x="2"/>
        <item x="3"/>
        <item x="4"/>
        <item x="5"/>
        <item x="6"/>
        <item x="7"/>
        <item t="default"/>
      </items>
    </pivotField>
    <pivotField dataField="1" numFmtId="164" showAll="0"/>
    <pivotField dataField="1" numFmtId="164" showAll="0"/>
    <pivotField axis="axisCol" showAll="0">
      <items count="10">
        <item x="0"/>
        <item x="5"/>
        <item x="4"/>
        <item x="7"/>
        <item x="3"/>
        <item x="2"/>
        <item x="8"/>
        <item x="6"/>
        <item x="1"/>
        <item t="default"/>
      </items>
    </pivotField>
    <pivotField showAll="0"/>
    <pivotField showAll="0">
      <items count="6">
        <item x="3"/>
        <item x="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3">
    <i>
      <x/>
    </i>
    <i i="1">
      <x v="1"/>
    </i>
    <i i="2">
      <x v="2"/>
    </i>
  </rowItems>
  <colFields count="1">
    <field x="5"/>
  </colFields>
  <colItems count="10">
    <i>
      <x/>
    </i>
    <i>
      <x v="1"/>
    </i>
    <i>
      <x v="2"/>
    </i>
    <i>
      <x v="3"/>
    </i>
    <i>
      <x v="4"/>
    </i>
    <i>
      <x v="5"/>
    </i>
    <i>
      <x v="6"/>
    </i>
    <i>
      <x v="7"/>
    </i>
    <i>
      <x v="8"/>
    </i>
    <i t="grand">
      <x/>
    </i>
  </colItems>
  <dataFields count="3">
    <dataField name="Sum of Salary" fld="2" baseField="0" baseItem="0"/>
    <dataField name="Sum of Bonus" fld="3" baseField="0" baseItem="0"/>
    <dataField name="Sum of Overtime" fld="4" baseField="0" baseItem="0"/>
  </dataFields>
  <chartFormats count="10">
    <chartFormat chart="6" format="18" series="1">
      <pivotArea type="data" outline="0" fieldPosition="0">
        <references count="2">
          <reference field="4294967294" count="1" selected="0">
            <x v="0"/>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1"/>
          </reference>
        </references>
      </pivotArea>
    </chartFormat>
    <chartFormat chart="6" format="20" series="1">
      <pivotArea type="data" outline="0" fieldPosition="0">
        <references count="2">
          <reference field="4294967294" count="1" selected="0">
            <x v="0"/>
          </reference>
          <reference field="5" count="1" selected="0">
            <x v="2"/>
          </reference>
        </references>
      </pivotArea>
    </chartFormat>
    <chartFormat chart="6" format="21" series="1">
      <pivotArea type="data" outline="0" fieldPosition="0">
        <references count="2">
          <reference field="4294967294" count="1" selected="0">
            <x v="0"/>
          </reference>
          <reference field="5" count="1" selected="0">
            <x v="3"/>
          </reference>
        </references>
      </pivotArea>
    </chartFormat>
    <chartFormat chart="6" format="22" series="1">
      <pivotArea type="data" outline="0" fieldPosition="0">
        <references count="2">
          <reference field="4294967294" count="1" selected="0">
            <x v="0"/>
          </reference>
          <reference field="5" count="1" selected="0">
            <x v="4"/>
          </reference>
        </references>
      </pivotArea>
    </chartFormat>
    <chartFormat chart="6" format="23" series="1">
      <pivotArea type="data" outline="0" fieldPosition="0">
        <references count="2">
          <reference field="4294967294" count="1" selected="0">
            <x v="0"/>
          </reference>
          <reference field="5" count="1" selected="0">
            <x v="5"/>
          </reference>
        </references>
      </pivotArea>
    </chartFormat>
    <chartFormat chart="6" format="24" series="1">
      <pivotArea type="data" outline="0" fieldPosition="0">
        <references count="2">
          <reference field="4294967294" count="1" selected="0">
            <x v="0"/>
          </reference>
          <reference field="5" count="1" selected="0">
            <x v="6"/>
          </reference>
        </references>
      </pivotArea>
    </chartFormat>
    <chartFormat chart="6" format="25" series="1">
      <pivotArea type="data" outline="0" fieldPosition="0">
        <references count="2">
          <reference field="4294967294" count="1" selected="0">
            <x v="0"/>
          </reference>
          <reference field="5" count="1" selected="0">
            <x v="7"/>
          </reference>
        </references>
      </pivotArea>
    </chartFormat>
    <chartFormat chart="6" format="26" series="1">
      <pivotArea type="data" outline="0" fieldPosition="0">
        <references count="2">
          <reference field="4294967294" count="1" selected="0">
            <x v="0"/>
          </reference>
          <reference field="5" count="1" selected="0">
            <x v="8"/>
          </reference>
        </references>
      </pivotArea>
    </chartFormat>
    <chartFormat chart="6"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52C6E2-070E-4121-9D0D-74FE047D94AF}"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dataField="1" numFmtId="164" showAll="0">
      <items count="9">
        <item x="0"/>
        <item x="1"/>
        <item x="2"/>
        <item x="3"/>
        <item x="4"/>
        <item x="5"/>
        <item x="6"/>
        <item x="7"/>
        <item t="default"/>
      </items>
    </pivotField>
    <pivotField numFmtId="164" showAll="0"/>
    <pivotField numFmtId="164" showAll="0"/>
    <pivotField showAll="0">
      <items count="10">
        <item x="0"/>
        <item x="5"/>
        <item x="4"/>
        <item x="7"/>
        <item x="3"/>
        <item x="2"/>
        <item x="8"/>
        <item x="6"/>
        <item x="1"/>
        <item t="default"/>
      </items>
    </pivotField>
    <pivotField showAll="0"/>
    <pivotField showAll="0">
      <items count="6">
        <item x="3"/>
        <item x="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v="1"/>
    </i>
    <i>
      <x v="2"/>
    </i>
    <i>
      <x v="3"/>
    </i>
    <i>
      <x v="4"/>
    </i>
    <i>
      <x v="5"/>
    </i>
    <i>
      <x v="6"/>
    </i>
    <i t="grand">
      <x/>
    </i>
  </rowItems>
  <colItems count="1">
    <i/>
  </colItems>
  <dataFields count="1">
    <dataField name="Sum of Salar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D6C833-9667-4BAE-A4BE-D5376443CD5C}"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A16"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numFmtId="164" showAll="0">
      <items count="9">
        <item x="0"/>
        <item x="1"/>
        <item x="2"/>
        <item x="3"/>
        <item x="4"/>
        <item x="5"/>
        <item x="6"/>
        <item x="7"/>
        <item t="default"/>
      </items>
    </pivotField>
    <pivotField numFmtId="164" showAll="0"/>
    <pivotField numFmtId="164" showAll="0"/>
    <pivotField showAll="0">
      <items count="10">
        <item x="0"/>
        <item x="5"/>
        <item x="4"/>
        <item x="7"/>
        <item x="3"/>
        <item x="2"/>
        <item x="8"/>
        <item x="6"/>
        <item x="1"/>
        <item t="default"/>
      </items>
    </pivotField>
    <pivotField showAll="0"/>
    <pivotField showAll="0">
      <items count="6">
        <item x="3"/>
        <item x="4"/>
        <item x="2"/>
        <item x="1"/>
        <item x="0"/>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9"/>
    <field x="8"/>
    <field x="1"/>
  </rowFields>
  <rowItems count="4">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core" xr10:uid="{8850984F-690B-42A7-B1DD-75145A3505B3}" sourceName="Performance Score">
  <pivotTables>
    <pivotTable tabId="5" name="PivotTable9"/>
    <pivotTable tabId="5" name="PivotTable10"/>
    <pivotTable tabId="5" name="PivotTable8"/>
    <pivotTable tabId="6" name="PivotTable12"/>
    <pivotTable tabId="6" name="PivotTable16"/>
  </pivotTables>
  <data>
    <tabular pivotCacheId="1382184784">
      <items count="5">
        <i x="3" s="1"/>
        <i x="4"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2914633-F7C3-464C-86D7-1C6F99C7F6D4}" sourceName="Department">
  <pivotTables>
    <pivotTable tabId="5" name="PivotTable9"/>
    <pivotTable tabId="5" name="PivotTable10"/>
    <pivotTable tabId="5" name="PivotTable8"/>
    <pivotTable tabId="6" name="PivotTable12"/>
    <pivotTable tabId="6" name="PivotTable16"/>
  </pivotTables>
  <data>
    <tabular pivotCacheId="1382184784">
      <items count="9">
        <i x="0" s="1"/>
        <i x="5" s="1"/>
        <i x="4" s="1"/>
        <i x="7" s="1"/>
        <i x="3" s="1"/>
        <i x="2" s="1"/>
        <i x="8" s="1"/>
        <i x="6"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26295855-6C74-4ABC-AE36-4DFA22818B46}" sourceName="Salary">
  <pivotTables>
    <pivotTable tabId="5" name="PivotTable9"/>
    <pivotTable tabId="5" name="PivotTable10"/>
    <pivotTable tabId="5" name="PivotTable8"/>
    <pivotTable tabId="6" name="PivotTable12"/>
    <pivotTable tabId="6" name="PivotTable16"/>
  </pivotTables>
  <data>
    <tabular pivotCacheId="1382184784">
      <items count="8">
        <i x="1" s="1"/>
        <i x="2" s="1"/>
        <i x="3" s="1"/>
        <i x="4" s="1"/>
        <i x="5" s="1"/>
        <i x="6" s="1"/>
        <i x="0"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 Score" xr10:uid="{33EAA0E7-68F3-490A-86FA-CA4AC62D4E3B}" cache="Slicer_Performance_Score" caption="Performance Score" style="SlicerStyleLight4" rowHeight="234950"/>
  <slicer name="Department" xr10:uid="{5D7FA936-324D-4C9A-AD7C-C2269AF0A802}" cache="Slicer_Department" caption="Department" style="SlicerStyleLight4" rowHeight="234950"/>
  <slicer name="Salary" xr10:uid="{D5069FDA-8CBC-4E6E-8A0D-74E594CEC06A}" cache="Slicer_Salary" caption="Salary"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H101" totalsRowShown="0" headerRowDxfId="148" dataDxfId="147" tableBorderDxfId="146">
  <autoFilter ref="A1:H101" xr:uid="{00000000-0009-0000-0100-000001000000}"/>
  <tableColumns count="8">
    <tableColumn id="1" xr3:uid="{00000000-0010-0000-0000-000001000000}" name="Full Name" dataDxfId="145"/>
    <tableColumn id="2" xr3:uid="{00000000-0010-0000-0000-000002000000}" name="Hire Date" dataDxfId="144"/>
    <tableColumn id="3" xr3:uid="{00000000-0010-0000-0000-000003000000}" name="Salary" dataDxfId="143"/>
    <tableColumn id="4" xr3:uid="{00000000-0010-0000-0000-000004000000}" name="Bonus" dataDxfId="142"/>
    <tableColumn id="5" xr3:uid="{00000000-0010-0000-0000-000005000000}" name="Overtime" dataDxfId="141"/>
    <tableColumn id="6" xr3:uid="{00000000-0010-0000-0000-000006000000}" name="Department" dataDxfId="140"/>
    <tableColumn id="7" xr3:uid="{00000000-0010-0000-0000-000007000000}" name="Sick Days" dataDxfId="139"/>
    <tableColumn id="8" xr3:uid="{00000000-0010-0000-0000-000008000000}" name="Performance Score" dataDxfId="1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e_Date" xr10:uid="{26AF1438-515A-48B9-8C74-A029B4EA8BFF}" sourceName="Hire Date">
  <pivotTables>
    <pivotTable tabId="6" name="PivotTable16"/>
    <pivotTable tabId="5" name="PivotTable10"/>
    <pivotTable tabId="5" name="PivotTable8"/>
    <pivotTable tabId="5" name="PivotTable9"/>
    <pivotTable tabId="6" name="PivotTable12"/>
  </pivotTables>
  <state minimalRefreshVersion="6" lastRefreshVersion="6" pivotCacheId="1382184784" filterType="unknown">
    <bounds startDate="2015-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 Date" xr10:uid="{1B02859D-FDCE-40DA-B96C-7A924200BEF9}" cache="NativeTimeline_Hire_Date" caption="Hire Date" level="2" selectionLevel="2" scrollPosition="2015-01-01T00:00:00" style="TimeSlicerStyleLight4"/>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
  <sheetViews>
    <sheetView tabSelected="1" zoomScale="69" zoomScaleNormal="115" workbookViewId="0">
      <selection activeCell="AE36" sqref="AE36"/>
    </sheetView>
  </sheetViews>
  <sheetFormatPr defaultRowHeight="14.4" x14ac:dyDescent="0.3"/>
  <sheetData>
    <row r="1" spans="1:9" ht="17.399999999999999" x14ac:dyDescent="0.35">
      <c r="A1" s="19" t="s">
        <v>125</v>
      </c>
      <c r="B1" s="20"/>
      <c r="C1" s="20"/>
      <c r="D1" s="20"/>
      <c r="E1" s="20"/>
      <c r="F1" s="20"/>
      <c r="I1" s="1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75" zoomScaleNormal="85" workbookViewId="0">
      <selection activeCell="AB7" sqref="AB7"/>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9926-4715-4327-818E-783A87BD7925}">
  <dimension ref="A3:K29"/>
  <sheetViews>
    <sheetView zoomScale="72" workbookViewId="0">
      <selection activeCell="F41" sqref="F41"/>
    </sheetView>
  </sheetViews>
  <sheetFormatPr defaultRowHeight="14.4" x14ac:dyDescent="0.3"/>
  <cols>
    <col min="1" max="1" width="15.109375" bestFit="1" customWidth="1"/>
    <col min="2" max="2" width="16.33203125" bestFit="1" customWidth="1"/>
    <col min="3" max="3" width="13.6640625" bestFit="1" customWidth="1"/>
    <col min="4" max="4" width="16.77734375" bestFit="1" customWidth="1"/>
    <col min="5" max="5" width="7.5546875" bestFit="1" customWidth="1"/>
    <col min="6" max="6" width="16.109375" bestFit="1" customWidth="1"/>
    <col min="7" max="7" width="7.5546875" bestFit="1" customWidth="1"/>
    <col min="8" max="8" width="9.6640625" bestFit="1" customWidth="1"/>
    <col min="9" max="10" width="7.5546875" bestFit="1" customWidth="1"/>
    <col min="11" max="11" width="10.77734375" bestFit="1" customWidth="1"/>
  </cols>
  <sheetData>
    <row r="3" spans="1:6" x14ac:dyDescent="0.3">
      <c r="A3" s="21" t="s">
        <v>126</v>
      </c>
      <c r="B3" t="s">
        <v>128</v>
      </c>
      <c r="D3" s="23" t="s">
        <v>131</v>
      </c>
      <c r="E3" s="23" t="s">
        <v>130</v>
      </c>
      <c r="F3" s="23" t="s">
        <v>129</v>
      </c>
    </row>
    <row r="4" spans="1:6" x14ac:dyDescent="0.3">
      <c r="A4" s="22" t="s">
        <v>9</v>
      </c>
      <c r="B4" s="27">
        <v>12</v>
      </c>
      <c r="D4" s="23">
        <v>184080</v>
      </c>
      <c r="E4" s="23">
        <v>949140</v>
      </c>
      <c r="F4" s="23">
        <v>2859008</v>
      </c>
    </row>
    <row r="5" spans="1:6" x14ac:dyDescent="0.3">
      <c r="A5" s="22" t="s">
        <v>27</v>
      </c>
      <c r="B5" s="27">
        <v>12</v>
      </c>
    </row>
    <row r="6" spans="1:6" x14ac:dyDescent="0.3">
      <c r="A6" s="22" t="s">
        <v>20</v>
      </c>
      <c r="B6" s="27">
        <v>9</v>
      </c>
    </row>
    <row r="7" spans="1:6" x14ac:dyDescent="0.3">
      <c r="A7" s="22" t="s">
        <v>33</v>
      </c>
      <c r="B7" s="27">
        <v>14</v>
      </c>
    </row>
    <row r="8" spans="1:6" x14ac:dyDescent="0.3">
      <c r="A8" s="22" t="s">
        <v>15</v>
      </c>
      <c r="B8" s="27">
        <v>15</v>
      </c>
    </row>
    <row r="9" spans="1:6" x14ac:dyDescent="0.3">
      <c r="A9" s="22" t="s">
        <v>13</v>
      </c>
      <c r="B9" s="27">
        <v>6</v>
      </c>
    </row>
    <row r="10" spans="1:6" x14ac:dyDescent="0.3">
      <c r="A10" s="22" t="s">
        <v>44</v>
      </c>
      <c r="B10" s="27">
        <v>4</v>
      </c>
    </row>
    <row r="11" spans="1:6" x14ac:dyDescent="0.3">
      <c r="A11" s="22" t="s">
        <v>31</v>
      </c>
      <c r="B11" s="27">
        <v>9</v>
      </c>
    </row>
    <row r="12" spans="1:6" x14ac:dyDescent="0.3">
      <c r="A12" s="22" t="s">
        <v>11</v>
      </c>
      <c r="B12" s="27">
        <v>19</v>
      </c>
    </row>
    <row r="13" spans="1:6" x14ac:dyDescent="0.3">
      <c r="A13" s="22" t="s">
        <v>127</v>
      </c>
      <c r="B13" s="27">
        <v>100</v>
      </c>
    </row>
    <row r="16" spans="1:6" x14ac:dyDescent="0.3">
      <c r="A16">
        <f>COUNT(B4:B12)</f>
        <v>9</v>
      </c>
    </row>
    <row r="25" spans="1:11" x14ac:dyDescent="0.3">
      <c r="B25" s="21" t="s">
        <v>133</v>
      </c>
    </row>
    <row r="26" spans="1:11" x14ac:dyDescent="0.3">
      <c r="A26" s="21" t="s">
        <v>132</v>
      </c>
      <c r="B26" t="s">
        <v>9</v>
      </c>
      <c r="C26" t="s">
        <v>27</v>
      </c>
      <c r="D26" t="s">
        <v>20</v>
      </c>
      <c r="E26" t="s">
        <v>33</v>
      </c>
      <c r="F26" t="s">
        <v>15</v>
      </c>
      <c r="G26" t="s">
        <v>13</v>
      </c>
      <c r="H26" t="s">
        <v>44</v>
      </c>
      <c r="I26" t="s">
        <v>31</v>
      </c>
      <c r="J26" t="s">
        <v>11</v>
      </c>
      <c r="K26" t="s">
        <v>127</v>
      </c>
    </row>
    <row r="27" spans="1:11" x14ac:dyDescent="0.3">
      <c r="A27" s="22" t="s">
        <v>129</v>
      </c>
      <c r="B27" s="27">
        <v>334869</v>
      </c>
      <c r="C27" s="27">
        <v>321997</v>
      </c>
      <c r="D27" s="27">
        <v>256084</v>
      </c>
      <c r="E27" s="27">
        <v>372448</v>
      </c>
      <c r="F27" s="27">
        <v>418886</v>
      </c>
      <c r="G27" s="27">
        <v>172425</v>
      </c>
      <c r="H27" s="27">
        <v>139769</v>
      </c>
      <c r="I27" s="27">
        <v>323544</v>
      </c>
      <c r="J27" s="27">
        <v>518986</v>
      </c>
      <c r="K27" s="27">
        <v>2859008</v>
      </c>
    </row>
    <row r="28" spans="1:11" x14ac:dyDescent="0.3">
      <c r="A28" s="22" t="s">
        <v>130</v>
      </c>
      <c r="B28" s="27">
        <v>216260</v>
      </c>
      <c r="C28" s="27">
        <v>112050</v>
      </c>
      <c r="D28" s="27">
        <v>71890</v>
      </c>
      <c r="E28" s="27">
        <v>123240</v>
      </c>
      <c r="F28" s="27">
        <v>105640</v>
      </c>
      <c r="G28" s="27">
        <v>37230</v>
      </c>
      <c r="H28" s="27">
        <v>19170</v>
      </c>
      <c r="I28" s="27">
        <v>52650</v>
      </c>
      <c r="J28" s="27">
        <v>211010</v>
      </c>
      <c r="K28" s="27">
        <v>949140</v>
      </c>
    </row>
    <row r="29" spans="1:11" x14ac:dyDescent="0.3">
      <c r="A29" s="22" t="s">
        <v>131</v>
      </c>
      <c r="B29" s="27">
        <v>14360</v>
      </c>
      <c r="C29" s="27">
        <v>19080</v>
      </c>
      <c r="D29" s="27">
        <v>19220</v>
      </c>
      <c r="E29" s="27">
        <v>22580</v>
      </c>
      <c r="F29" s="27">
        <v>41200</v>
      </c>
      <c r="G29" s="27">
        <v>12100</v>
      </c>
      <c r="H29" s="27">
        <v>8700</v>
      </c>
      <c r="I29" s="27">
        <v>26620</v>
      </c>
      <c r="J29" s="27">
        <v>20220</v>
      </c>
      <c r="K29" s="27">
        <v>184080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E00A-76E9-4E67-A162-F395BA48C11C}">
  <dimension ref="A2:H16"/>
  <sheetViews>
    <sheetView zoomScale="90" workbookViewId="0">
      <selection activeCell="E4" sqref="E4:E9"/>
    </sheetView>
  </sheetViews>
  <sheetFormatPr defaultRowHeight="14.4" x14ac:dyDescent="0.3"/>
  <cols>
    <col min="1" max="2" width="12.5546875" bestFit="1" customWidth="1"/>
    <col min="5" max="5" width="11.6640625" bestFit="1" customWidth="1"/>
    <col min="6" max="6" width="12" bestFit="1" customWidth="1"/>
  </cols>
  <sheetData>
    <row r="2" spans="1:8" x14ac:dyDescent="0.3">
      <c r="G2" t="s">
        <v>140</v>
      </c>
      <c r="H2">
        <f>MAX(F4:F9)*1.5</f>
        <v>898026</v>
      </c>
    </row>
    <row r="3" spans="1:8" x14ac:dyDescent="0.3">
      <c r="A3" s="21" t="s">
        <v>126</v>
      </c>
      <c r="B3" t="s">
        <v>129</v>
      </c>
      <c r="E3" t="str">
        <f t="shared" ref="E3:F10" si="0">A3</f>
        <v>Row Labels</v>
      </c>
      <c r="F3" t="str">
        <f t="shared" si="0"/>
        <v>Sum of Salary</v>
      </c>
      <c r="G3" t="s">
        <v>141</v>
      </c>
    </row>
    <row r="4" spans="1:8" x14ac:dyDescent="0.3">
      <c r="A4" s="24" t="s">
        <v>134</v>
      </c>
      <c r="B4" s="27">
        <v>369181</v>
      </c>
      <c r="E4" t="str">
        <f t="shared" si="0"/>
        <v>15001-20000</v>
      </c>
      <c r="F4">
        <f t="shared" si="0"/>
        <v>369181</v>
      </c>
      <c r="G4">
        <f>$H$2-F4</f>
        <v>528845</v>
      </c>
    </row>
    <row r="5" spans="1:8" x14ac:dyDescent="0.3">
      <c r="A5" s="24" t="s">
        <v>135</v>
      </c>
      <c r="B5" s="27">
        <v>478008</v>
      </c>
      <c r="E5" t="str">
        <f t="shared" si="0"/>
        <v>20001-25000</v>
      </c>
      <c r="F5">
        <f t="shared" si="0"/>
        <v>478008</v>
      </c>
      <c r="G5">
        <f t="shared" ref="G5:G9" si="1">$H$2-F5</f>
        <v>420018</v>
      </c>
    </row>
    <row r="6" spans="1:8" x14ac:dyDescent="0.3">
      <c r="A6" s="24" t="s">
        <v>136</v>
      </c>
      <c r="B6" s="27">
        <v>408625</v>
      </c>
      <c r="E6" t="str">
        <f t="shared" si="0"/>
        <v>25001-30000</v>
      </c>
      <c r="F6">
        <f t="shared" si="0"/>
        <v>408625</v>
      </c>
      <c r="G6">
        <f t="shared" si="1"/>
        <v>489401</v>
      </c>
    </row>
    <row r="7" spans="1:8" x14ac:dyDescent="0.3">
      <c r="A7" s="24" t="s">
        <v>137</v>
      </c>
      <c r="B7" s="27">
        <v>526427</v>
      </c>
      <c r="E7" t="str">
        <f t="shared" si="0"/>
        <v>30001-35000</v>
      </c>
      <c r="F7">
        <f t="shared" si="0"/>
        <v>526427</v>
      </c>
      <c r="G7">
        <f t="shared" si="1"/>
        <v>371599</v>
      </c>
    </row>
    <row r="8" spans="1:8" x14ac:dyDescent="0.3">
      <c r="A8" s="24" t="s">
        <v>138</v>
      </c>
      <c r="B8" s="27">
        <v>478083</v>
      </c>
      <c r="E8" t="str">
        <f t="shared" si="0"/>
        <v>35001-40000</v>
      </c>
      <c r="F8">
        <f t="shared" si="0"/>
        <v>478083</v>
      </c>
      <c r="G8">
        <f t="shared" si="1"/>
        <v>419943</v>
      </c>
    </row>
    <row r="9" spans="1:8" x14ac:dyDescent="0.3">
      <c r="A9" s="24" t="s">
        <v>139</v>
      </c>
      <c r="B9" s="27">
        <v>598684</v>
      </c>
      <c r="E9" t="str">
        <f t="shared" si="0"/>
        <v>40001-45000</v>
      </c>
      <c r="F9">
        <f t="shared" si="0"/>
        <v>598684</v>
      </c>
      <c r="G9">
        <f t="shared" si="1"/>
        <v>299342</v>
      </c>
    </row>
    <row r="10" spans="1:8" x14ac:dyDescent="0.3">
      <c r="A10" s="24" t="s">
        <v>127</v>
      </c>
      <c r="B10" s="27">
        <v>2859008</v>
      </c>
      <c r="E10" t="str">
        <f t="shared" si="0"/>
        <v>Grand Total</v>
      </c>
      <c r="F10">
        <f t="shared" si="0"/>
        <v>2859008</v>
      </c>
    </row>
    <row r="12" spans="1:8" x14ac:dyDescent="0.3">
      <c r="A12" s="21" t="s">
        <v>126</v>
      </c>
    </row>
    <row r="13" spans="1:8" x14ac:dyDescent="0.3">
      <c r="A13" s="22" t="s">
        <v>143</v>
      </c>
    </row>
    <row r="14" spans="1:8" x14ac:dyDescent="0.3">
      <c r="A14" s="22" t="s">
        <v>144</v>
      </c>
    </row>
    <row r="15" spans="1:8" x14ac:dyDescent="0.3">
      <c r="A15" s="22" t="s">
        <v>142</v>
      </c>
    </row>
    <row r="16" spans="1:8" x14ac:dyDescent="0.3">
      <c r="A16" s="22"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zoomScale="78" zoomScaleNormal="115" workbookViewId="0">
      <pane ySplit="1" topLeftCell="A2" activePane="bottomLeft" state="frozen"/>
      <selection pane="bottomLeft" activeCell="B1" sqref="B1"/>
    </sheetView>
  </sheetViews>
  <sheetFormatPr defaultRowHeight="14.4" x14ac:dyDescent="0.3"/>
  <cols>
    <col min="1" max="1" width="23.109375" customWidth="1"/>
    <col min="2" max="2" width="12.44140625" style="9" bestFit="1" customWidth="1"/>
    <col min="3" max="4" width="10.33203125" style="9" customWidth="1"/>
    <col min="5" max="5" width="12.44140625" style="9" bestFit="1" customWidth="1"/>
    <col min="6" max="6" width="18" style="9" bestFit="1" customWidth="1"/>
    <col min="7" max="7" width="12.109375" style="9" customWidth="1"/>
    <col min="8" max="8" width="14.33203125" style="9" customWidth="1"/>
    <col min="10" max="10" width="10.109375" bestFit="1" customWidth="1"/>
    <col min="12" max="12" width="10" bestFit="1" customWidth="1"/>
    <col min="13" max="13" width="11.44140625" customWidth="1"/>
  </cols>
  <sheetData>
    <row r="1" spans="1:13" s="14" customFormat="1" ht="43.5" customHeight="1" thickBot="1" x14ac:dyDescent="0.35">
      <c r="A1" s="10" t="s">
        <v>0</v>
      </c>
      <c r="B1" s="11" t="s">
        <v>1</v>
      </c>
      <c r="C1" s="12" t="s">
        <v>2</v>
      </c>
      <c r="D1" s="12" t="s">
        <v>3</v>
      </c>
      <c r="E1" s="12" t="s">
        <v>4</v>
      </c>
      <c r="F1" s="13" t="s">
        <v>5</v>
      </c>
      <c r="G1" s="13" t="s">
        <v>6</v>
      </c>
      <c r="H1" s="13" t="s">
        <v>7</v>
      </c>
      <c r="I1" s="15"/>
      <c r="J1" s="15"/>
      <c r="K1" s="15"/>
      <c r="L1" s="15"/>
      <c r="M1" s="15"/>
    </row>
    <row r="2" spans="1:13" ht="15.6" x14ac:dyDescent="0.3">
      <c r="A2" s="1" t="s">
        <v>28</v>
      </c>
      <c r="B2" s="3">
        <v>43099</v>
      </c>
      <c r="C2" s="4">
        <v>17246</v>
      </c>
      <c r="D2" s="4">
        <v>6900</v>
      </c>
      <c r="E2" s="4">
        <v>4560</v>
      </c>
      <c r="F2" s="5" t="s">
        <v>20</v>
      </c>
      <c r="G2" s="5">
        <v>1</v>
      </c>
      <c r="H2" s="5">
        <v>2</v>
      </c>
      <c r="I2" s="16"/>
      <c r="J2" s="16"/>
      <c r="K2" s="15"/>
      <c r="L2" s="15"/>
      <c r="M2" s="15"/>
    </row>
    <row r="3" spans="1:13" ht="15.6" x14ac:dyDescent="0.3">
      <c r="A3" s="2" t="s">
        <v>114</v>
      </c>
      <c r="B3" s="6">
        <v>43097</v>
      </c>
      <c r="C3" s="7">
        <v>33866</v>
      </c>
      <c r="D3" s="7">
        <v>33050</v>
      </c>
      <c r="E3" s="7">
        <v>60</v>
      </c>
      <c r="F3" s="8" t="s">
        <v>27</v>
      </c>
      <c r="G3" s="8">
        <v>6</v>
      </c>
      <c r="H3" s="8">
        <v>2</v>
      </c>
      <c r="I3" s="16"/>
      <c r="J3" s="16">
        <f>MAX(Data[Salary])</f>
        <v>44803</v>
      </c>
      <c r="K3" s="15">
        <f>MAX(Data[Bonus])</f>
        <v>53050</v>
      </c>
      <c r="L3" s="15">
        <f>MAX(Data[Overtime])</f>
        <v>7890</v>
      </c>
      <c r="M3" s="15"/>
    </row>
    <row r="4" spans="1:13" ht="15.6" x14ac:dyDescent="0.3">
      <c r="A4" s="2" t="s">
        <v>56</v>
      </c>
      <c r="B4" s="6">
        <v>43087</v>
      </c>
      <c r="C4" s="7">
        <v>15029</v>
      </c>
      <c r="D4" s="7">
        <v>2290</v>
      </c>
      <c r="E4" s="7">
        <v>990</v>
      </c>
      <c r="F4" s="8" t="s">
        <v>15</v>
      </c>
      <c r="G4" s="8">
        <v>2</v>
      </c>
      <c r="H4" s="8">
        <v>4</v>
      </c>
      <c r="I4" s="16"/>
      <c r="J4" s="25">
        <f>SUM(Data[Salary])</f>
        <v>2859008</v>
      </c>
      <c r="K4" s="15"/>
      <c r="L4" s="15"/>
      <c r="M4" s="15"/>
    </row>
    <row r="5" spans="1:13" ht="15.6" x14ac:dyDescent="0.3">
      <c r="A5" s="2" t="s">
        <v>45</v>
      </c>
      <c r="B5" s="6">
        <v>43074</v>
      </c>
      <c r="C5" s="7">
        <v>37968</v>
      </c>
      <c r="D5" s="7">
        <v>3130</v>
      </c>
      <c r="E5" s="7">
        <v>220</v>
      </c>
      <c r="F5" s="8" t="s">
        <v>44</v>
      </c>
      <c r="G5" s="8">
        <v>3</v>
      </c>
      <c r="H5" s="8">
        <v>4</v>
      </c>
      <c r="I5" s="16"/>
      <c r="J5" s="16">
        <f>MIN(Data[Salary])</f>
        <v>15005</v>
      </c>
      <c r="K5" s="26">
        <f>MIN(Data[Bonus])</f>
        <v>1800</v>
      </c>
      <c r="L5" s="15">
        <f>MIN(Data[Overtime])</f>
        <v>60</v>
      </c>
      <c r="M5" s="15"/>
    </row>
    <row r="6" spans="1:13" ht="15.6" x14ac:dyDescent="0.3">
      <c r="A6" s="2" t="s">
        <v>54</v>
      </c>
      <c r="B6" s="6">
        <v>43069</v>
      </c>
      <c r="C6" s="7">
        <v>42409</v>
      </c>
      <c r="D6" s="7">
        <v>5850</v>
      </c>
      <c r="E6" s="7">
        <v>7740</v>
      </c>
      <c r="F6" s="8" t="s">
        <v>31</v>
      </c>
      <c r="G6" s="8">
        <v>3</v>
      </c>
      <c r="H6" s="8">
        <v>1</v>
      </c>
      <c r="I6" s="16"/>
      <c r="J6" s="16"/>
      <c r="K6" s="15"/>
      <c r="L6" s="15"/>
      <c r="M6" s="15"/>
    </row>
    <row r="7" spans="1:13" ht="15.6" x14ac:dyDescent="0.3">
      <c r="A7" s="2" t="s">
        <v>95</v>
      </c>
      <c r="B7" s="6">
        <v>43064</v>
      </c>
      <c r="C7" s="7">
        <v>29924</v>
      </c>
      <c r="D7" s="7">
        <v>2610</v>
      </c>
      <c r="E7" s="7">
        <v>3700.0000000000005</v>
      </c>
      <c r="F7" s="8" t="s">
        <v>9</v>
      </c>
      <c r="G7" s="8">
        <v>6</v>
      </c>
      <c r="H7" s="8">
        <v>2</v>
      </c>
      <c r="I7" s="16"/>
      <c r="J7" s="25">
        <f>SUM(Data[[Salary]:[Overtime]])</f>
        <v>3992228</v>
      </c>
      <c r="K7" s="15"/>
      <c r="L7" s="15"/>
      <c r="M7" s="15"/>
    </row>
    <row r="8" spans="1:13" ht="15.6" x14ac:dyDescent="0.3">
      <c r="A8" s="2" t="s">
        <v>8</v>
      </c>
      <c r="B8" s="6">
        <v>43059</v>
      </c>
      <c r="C8" s="7">
        <v>16822</v>
      </c>
      <c r="D8" s="7">
        <v>2850</v>
      </c>
      <c r="E8" s="7">
        <v>1860</v>
      </c>
      <c r="F8" s="8" t="s">
        <v>9</v>
      </c>
      <c r="G8" s="8">
        <v>1</v>
      </c>
      <c r="H8" s="8">
        <v>5</v>
      </c>
      <c r="I8" s="16"/>
      <c r="J8" s="16"/>
      <c r="K8" s="15"/>
      <c r="L8" s="15"/>
      <c r="M8" s="15"/>
    </row>
    <row r="9" spans="1:13" ht="15.6" x14ac:dyDescent="0.3">
      <c r="A9" s="2" t="s">
        <v>26</v>
      </c>
      <c r="B9" s="6">
        <v>43057</v>
      </c>
      <c r="C9" s="7">
        <v>35489</v>
      </c>
      <c r="D9" s="7">
        <v>5470</v>
      </c>
      <c r="E9" s="7">
        <v>2100</v>
      </c>
      <c r="F9" s="8" t="s">
        <v>27</v>
      </c>
      <c r="G9" s="8">
        <v>5</v>
      </c>
      <c r="H9" s="8">
        <v>3</v>
      </c>
      <c r="I9" s="16"/>
      <c r="J9" s="16"/>
      <c r="K9" s="15"/>
      <c r="L9" s="15"/>
      <c r="M9" s="15"/>
    </row>
    <row r="10" spans="1:13" ht="15.6" x14ac:dyDescent="0.3">
      <c r="A10" s="2" t="s">
        <v>69</v>
      </c>
      <c r="B10" s="6">
        <v>43048</v>
      </c>
      <c r="C10" s="7">
        <v>43609</v>
      </c>
      <c r="D10" s="7">
        <v>6360</v>
      </c>
      <c r="E10" s="7">
        <v>650</v>
      </c>
      <c r="F10" s="8" t="s">
        <v>31</v>
      </c>
      <c r="G10" s="8">
        <v>1</v>
      </c>
      <c r="H10" s="8">
        <v>5</v>
      </c>
      <c r="I10" s="16"/>
      <c r="J10" s="16"/>
      <c r="K10" s="15"/>
      <c r="L10" s="15"/>
      <c r="M10" s="15"/>
    </row>
    <row r="11" spans="1:13" ht="15.6" x14ac:dyDescent="0.3">
      <c r="A11" s="2" t="s">
        <v>12</v>
      </c>
      <c r="B11" s="6">
        <v>43043</v>
      </c>
      <c r="C11" s="7">
        <v>27099</v>
      </c>
      <c r="D11" s="7">
        <v>3570</v>
      </c>
      <c r="E11" s="7">
        <v>3840</v>
      </c>
      <c r="F11" s="8" t="s">
        <v>13</v>
      </c>
      <c r="G11" s="8">
        <v>5</v>
      </c>
      <c r="H11" s="8">
        <v>4</v>
      </c>
      <c r="I11" s="16"/>
      <c r="J11" s="16"/>
      <c r="K11" s="15"/>
      <c r="L11" s="15"/>
      <c r="M11" s="15"/>
    </row>
    <row r="12" spans="1:13" ht="15.6" x14ac:dyDescent="0.3">
      <c r="A12" s="2" t="s">
        <v>110</v>
      </c>
      <c r="B12" s="6">
        <v>43036</v>
      </c>
      <c r="C12" s="7">
        <v>19822</v>
      </c>
      <c r="D12" s="7">
        <v>9450</v>
      </c>
      <c r="E12" s="7">
        <v>60</v>
      </c>
      <c r="F12" s="8" t="s">
        <v>33</v>
      </c>
      <c r="G12" s="8">
        <v>5</v>
      </c>
      <c r="H12" s="8">
        <v>5</v>
      </c>
      <c r="I12" s="16"/>
      <c r="J12" s="16"/>
      <c r="K12" s="15"/>
      <c r="L12" s="15"/>
      <c r="M12" s="15"/>
    </row>
    <row r="13" spans="1:13" ht="15.6" x14ac:dyDescent="0.3">
      <c r="A13" s="2" t="s">
        <v>82</v>
      </c>
      <c r="B13" s="6">
        <v>43033</v>
      </c>
      <c r="C13" s="7">
        <v>16789</v>
      </c>
      <c r="D13" s="7">
        <v>1830</v>
      </c>
      <c r="E13" s="7">
        <v>450</v>
      </c>
      <c r="F13" s="8" t="s">
        <v>33</v>
      </c>
      <c r="G13" s="8">
        <v>4</v>
      </c>
      <c r="H13" s="8">
        <v>3</v>
      </c>
      <c r="I13" s="16"/>
      <c r="J13" s="16"/>
      <c r="K13" s="15"/>
      <c r="L13" s="15"/>
      <c r="M13" s="15"/>
    </row>
    <row r="14" spans="1:13" ht="15.6" x14ac:dyDescent="0.3">
      <c r="A14" s="2" t="s">
        <v>111</v>
      </c>
      <c r="B14" s="6">
        <v>43032</v>
      </c>
      <c r="C14" s="7">
        <v>36353</v>
      </c>
      <c r="D14" s="7">
        <v>42050</v>
      </c>
      <c r="E14" s="7">
        <v>60</v>
      </c>
      <c r="F14" s="8" t="s">
        <v>11</v>
      </c>
      <c r="G14" s="8">
        <v>2</v>
      </c>
      <c r="H14" s="8">
        <v>3</v>
      </c>
      <c r="I14" s="16"/>
      <c r="J14" s="16"/>
      <c r="K14" s="15"/>
      <c r="L14" s="15"/>
      <c r="M14" s="15"/>
    </row>
    <row r="15" spans="1:13" ht="15.6" x14ac:dyDescent="0.3">
      <c r="A15" s="2" t="s">
        <v>63</v>
      </c>
      <c r="B15" s="6">
        <v>43030</v>
      </c>
      <c r="C15" s="7">
        <v>36577</v>
      </c>
      <c r="D15" s="7">
        <v>6690</v>
      </c>
      <c r="E15" s="7">
        <v>60</v>
      </c>
      <c r="F15" s="8" t="s">
        <v>9</v>
      </c>
      <c r="G15" s="8">
        <v>3</v>
      </c>
      <c r="H15" s="8">
        <v>1</v>
      </c>
      <c r="I15" s="16"/>
      <c r="J15" s="16"/>
      <c r="K15" s="15"/>
      <c r="L15" s="15"/>
      <c r="M15" s="15"/>
    </row>
    <row r="16" spans="1:13" ht="15.6" x14ac:dyDescent="0.3">
      <c r="A16" s="2" t="s">
        <v>25</v>
      </c>
      <c r="B16" s="6">
        <v>43017</v>
      </c>
      <c r="C16" s="7">
        <v>23762</v>
      </c>
      <c r="D16" s="7">
        <v>3840</v>
      </c>
      <c r="E16" s="7">
        <v>370</v>
      </c>
      <c r="F16" s="8" t="s">
        <v>11</v>
      </c>
      <c r="G16" s="8">
        <v>6</v>
      </c>
      <c r="H16" s="8">
        <v>5</v>
      </c>
      <c r="I16" s="16"/>
      <c r="J16" s="16"/>
      <c r="K16" s="16"/>
      <c r="L16" s="16"/>
      <c r="M16" s="16"/>
    </row>
    <row r="17" spans="1:13" ht="15.6" x14ac:dyDescent="0.3">
      <c r="A17" s="2" t="s">
        <v>101</v>
      </c>
      <c r="B17" s="6">
        <v>43015</v>
      </c>
      <c r="C17" s="7">
        <v>18591</v>
      </c>
      <c r="D17" s="7">
        <v>16800</v>
      </c>
      <c r="E17" s="7">
        <v>60</v>
      </c>
      <c r="F17" s="8" t="s">
        <v>33</v>
      </c>
      <c r="G17" s="8">
        <v>4</v>
      </c>
      <c r="H17" s="8">
        <v>3</v>
      </c>
      <c r="I17" s="16"/>
      <c r="J17" s="16"/>
      <c r="K17" s="16"/>
      <c r="L17" s="16"/>
      <c r="M17" s="16"/>
    </row>
    <row r="18" spans="1:13" ht="15.6" x14ac:dyDescent="0.3">
      <c r="A18" s="2" t="s">
        <v>66</v>
      </c>
      <c r="B18" s="6">
        <v>42998</v>
      </c>
      <c r="C18" s="7">
        <v>35141</v>
      </c>
      <c r="D18" s="7">
        <v>1950</v>
      </c>
      <c r="E18" s="7">
        <v>60</v>
      </c>
      <c r="F18" s="8" t="s">
        <v>13</v>
      </c>
      <c r="G18" s="8">
        <v>1</v>
      </c>
      <c r="H18" s="8">
        <v>5</v>
      </c>
      <c r="I18" s="16"/>
      <c r="J18" s="16"/>
      <c r="K18" s="16"/>
      <c r="L18" s="16"/>
      <c r="M18" s="16"/>
    </row>
    <row r="19" spans="1:13" ht="15.6" x14ac:dyDescent="0.3">
      <c r="A19" s="2" t="s">
        <v>65</v>
      </c>
      <c r="B19" s="6">
        <v>42984</v>
      </c>
      <c r="C19" s="7">
        <v>23859</v>
      </c>
      <c r="D19" s="7">
        <v>2950</v>
      </c>
      <c r="E19" s="7">
        <v>60</v>
      </c>
      <c r="F19" s="8" t="s">
        <v>13</v>
      </c>
      <c r="G19" s="8">
        <v>1</v>
      </c>
      <c r="H19" s="8">
        <v>3</v>
      </c>
      <c r="I19" s="16"/>
      <c r="J19" s="16"/>
      <c r="K19" s="16"/>
      <c r="L19" s="16"/>
      <c r="M19" s="16"/>
    </row>
    <row r="20" spans="1:13" ht="15.6" x14ac:dyDescent="0.3">
      <c r="A20" s="2" t="s">
        <v>112</v>
      </c>
      <c r="B20" s="6">
        <v>42980</v>
      </c>
      <c r="C20" s="7">
        <v>40660</v>
      </c>
      <c r="D20" s="7">
        <v>29050</v>
      </c>
      <c r="E20" s="7">
        <v>60</v>
      </c>
      <c r="F20" s="8" t="s">
        <v>11</v>
      </c>
      <c r="G20" s="8">
        <v>5</v>
      </c>
      <c r="H20" s="8">
        <v>5</v>
      </c>
      <c r="I20" s="16"/>
      <c r="J20" s="16"/>
      <c r="K20" s="16"/>
      <c r="L20" s="16"/>
      <c r="M20" s="16"/>
    </row>
    <row r="21" spans="1:13" ht="15.6" x14ac:dyDescent="0.3">
      <c r="A21" s="2" t="s">
        <v>37</v>
      </c>
      <c r="B21" s="6">
        <v>42977</v>
      </c>
      <c r="C21" s="7">
        <v>24498</v>
      </c>
      <c r="D21" s="7">
        <v>18270</v>
      </c>
      <c r="E21" s="7">
        <v>4980</v>
      </c>
      <c r="F21" s="8" t="s">
        <v>15</v>
      </c>
      <c r="G21" s="8">
        <v>5</v>
      </c>
      <c r="H21" s="8">
        <v>2</v>
      </c>
      <c r="I21" s="16"/>
      <c r="J21" s="16"/>
      <c r="K21" s="16"/>
      <c r="L21" s="16"/>
      <c r="M21" s="16"/>
    </row>
    <row r="22" spans="1:13" ht="15.6" x14ac:dyDescent="0.3">
      <c r="A22" s="2" t="s">
        <v>73</v>
      </c>
      <c r="B22" s="6">
        <v>42973</v>
      </c>
      <c r="C22" s="7">
        <v>26420</v>
      </c>
      <c r="D22" s="7">
        <v>2510</v>
      </c>
      <c r="E22" s="7">
        <v>5170.0000000000009</v>
      </c>
      <c r="F22" s="8" t="s">
        <v>33</v>
      </c>
      <c r="G22" s="8">
        <v>6</v>
      </c>
      <c r="H22" s="8">
        <v>1</v>
      </c>
      <c r="I22" s="16"/>
      <c r="J22" s="16"/>
      <c r="K22" s="16"/>
      <c r="L22" s="16"/>
      <c r="M22" s="16"/>
    </row>
    <row r="23" spans="1:13" ht="15.6" x14ac:dyDescent="0.3">
      <c r="A23" s="2" t="s">
        <v>50</v>
      </c>
      <c r="B23" s="6">
        <v>42966</v>
      </c>
      <c r="C23" s="7">
        <v>37048</v>
      </c>
      <c r="D23" s="7">
        <v>5040</v>
      </c>
      <c r="E23" s="7">
        <v>630</v>
      </c>
      <c r="F23" s="8" t="s">
        <v>31</v>
      </c>
      <c r="G23" s="8">
        <v>3</v>
      </c>
      <c r="H23" s="8">
        <v>3</v>
      </c>
      <c r="I23" s="16"/>
      <c r="J23" s="16"/>
      <c r="K23" s="16"/>
      <c r="L23" s="16"/>
      <c r="M23" s="16"/>
    </row>
    <row r="24" spans="1:13" ht="15.6" x14ac:dyDescent="0.3">
      <c r="A24" s="2" t="s">
        <v>83</v>
      </c>
      <c r="B24" s="6">
        <v>42966</v>
      </c>
      <c r="C24" s="7">
        <v>19632</v>
      </c>
      <c r="D24" s="7">
        <v>7290</v>
      </c>
      <c r="E24" s="7">
        <v>540</v>
      </c>
      <c r="F24" s="8" t="s">
        <v>31</v>
      </c>
      <c r="G24" s="8">
        <v>3</v>
      </c>
      <c r="H24" s="8">
        <v>1</v>
      </c>
      <c r="I24" s="16"/>
      <c r="J24" s="16"/>
      <c r="K24" s="16"/>
      <c r="L24" s="16"/>
      <c r="M24" s="16"/>
    </row>
    <row r="25" spans="1:13" ht="15.6" x14ac:dyDescent="0.3">
      <c r="A25" s="2" t="s">
        <v>99</v>
      </c>
      <c r="B25" s="6">
        <v>42958</v>
      </c>
      <c r="C25" s="7">
        <v>18299</v>
      </c>
      <c r="D25" s="7">
        <v>8650</v>
      </c>
      <c r="E25" s="7">
        <v>2340</v>
      </c>
      <c r="F25" s="8" t="s">
        <v>11</v>
      </c>
      <c r="G25" s="8">
        <v>4</v>
      </c>
      <c r="H25" s="8">
        <v>1</v>
      </c>
      <c r="I25" s="16"/>
      <c r="J25" s="16"/>
      <c r="K25" s="16"/>
      <c r="L25" s="16"/>
      <c r="M25" s="16"/>
    </row>
    <row r="26" spans="1:13" ht="15.6" x14ac:dyDescent="0.3">
      <c r="A26" s="2" t="s">
        <v>86</v>
      </c>
      <c r="B26" s="6">
        <v>42954</v>
      </c>
      <c r="C26" s="7">
        <v>27933</v>
      </c>
      <c r="D26" s="7">
        <v>4950</v>
      </c>
      <c r="E26" s="7">
        <v>60</v>
      </c>
      <c r="F26" s="8" t="s">
        <v>15</v>
      </c>
      <c r="G26" s="8">
        <v>6</v>
      </c>
      <c r="H26" s="8">
        <v>5</v>
      </c>
      <c r="I26" s="16"/>
      <c r="J26" s="16"/>
      <c r="K26" s="16"/>
      <c r="L26" s="16"/>
      <c r="M26" s="16"/>
    </row>
    <row r="27" spans="1:13" ht="15.6" x14ac:dyDescent="0.3">
      <c r="A27" s="2" t="s">
        <v>75</v>
      </c>
      <c r="B27" s="6">
        <v>42944</v>
      </c>
      <c r="C27" s="7">
        <v>36373</v>
      </c>
      <c r="D27" s="7">
        <v>2750</v>
      </c>
      <c r="E27" s="7">
        <v>60</v>
      </c>
      <c r="F27" s="8" t="s">
        <v>11</v>
      </c>
      <c r="G27" s="8">
        <v>2</v>
      </c>
      <c r="H27" s="8">
        <v>4</v>
      </c>
      <c r="I27" s="16"/>
      <c r="J27" s="16"/>
      <c r="K27" s="16"/>
      <c r="L27" s="16"/>
      <c r="M27" s="16"/>
    </row>
    <row r="28" spans="1:13" ht="15.6" x14ac:dyDescent="0.3">
      <c r="A28" s="2" t="s">
        <v>21</v>
      </c>
      <c r="B28" s="6">
        <v>42943</v>
      </c>
      <c r="C28" s="7">
        <v>21646</v>
      </c>
      <c r="D28" s="7">
        <v>3210</v>
      </c>
      <c r="E28" s="7">
        <v>2940</v>
      </c>
      <c r="F28" s="8" t="s">
        <v>11</v>
      </c>
      <c r="G28" s="8">
        <v>4</v>
      </c>
      <c r="H28" s="8">
        <v>5</v>
      </c>
    </row>
    <row r="29" spans="1:13" ht="15.6" x14ac:dyDescent="0.3">
      <c r="A29" s="2" t="s">
        <v>85</v>
      </c>
      <c r="B29" s="6">
        <v>42935</v>
      </c>
      <c r="C29" s="7">
        <v>20556</v>
      </c>
      <c r="D29" s="7">
        <v>6180</v>
      </c>
      <c r="E29" s="7">
        <v>3480</v>
      </c>
      <c r="F29" s="8" t="s">
        <v>27</v>
      </c>
      <c r="G29" s="8">
        <v>6</v>
      </c>
      <c r="H29" s="8">
        <v>1</v>
      </c>
    </row>
    <row r="30" spans="1:13" ht="15.6" x14ac:dyDescent="0.3">
      <c r="A30" s="2" t="s">
        <v>47</v>
      </c>
      <c r="B30" s="6">
        <v>42929</v>
      </c>
      <c r="C30" s="7">
        <v>43839</v>
      </c>
      <c r="D30" s="7">
        <v>2650</v>
      </c>
      <c r="E30" s="7">
        <v>1660</v>
      </c>
      <c r="F30" s="8" t="s">
        <v>15</v>
      </c>
      <c r="G30" s="8">
        <v>2</v>
      </c>
      <c r="H30" s="8">
        <v>2</v>
      </c>
    </row>
    <row r="31" spans="1:13" ht="15.6" x14ac:dyDescent="0.3">
      <c r="A31" s="2" t="s">
        <v>100</v>
      </c>
      <c r="B31" s="6">
        <v>42921</v>
      </c>
      <c r="C31" s="7">
        <v>34961</v>
      </c>
      <c r="D31" s="7">
        <v>6440.0000000000009</v>
      </c>
      <c r="E31" s="7">
        <v>60</v>
      </c>
      <c r="F31" s="8" t="s">
        <v>11</v>
      </c>
      <c r="G31" s="8">
        <v>6</v>
      </c>
      <c r="H31" s="8">
        <v>1</v>
      </c>
    </row>
    <row r="32" spans="1:13" ht="15.6" x14ac:dyDescent="0.3">
      <c r="A32" s="2" t="s">
        <v>102</v>
      </c>
      <c r="B32" s="6">
        <v>42914</v>
      </c>
      <c r="C32" s="7">
        <v>25825</v>
      </c>
      <c r="D32" s="7">
        <v>11760</v>
      </c>
      <c r="E32" s="7">
        <v>4820</v>
      </c>
      <c r="F32" s="8" t="s">
        <v>27</v>
      </c>
      <c r="G32" s="8">
        <v>5</v>
      </c>
      <c r="H32" s="8">
        <v>2</v>
      </c>
    </row>
    <row r="33" spans="1:8" ht="15.6" x14ac:dyDescent="0.3">
      <c r="A33" s="2" t="s">
        <v>108</v>
      </c>
      <c r="B33" s="6">
        <v>42912</v>
      </c>
      <c r="C33" s="7">
        <v>23718</v>
      </c>
      <c r="D33" s="7">
        <v>3350</v>
      </c>
      <c r="E33" s="7">
        <v>60</v>
      </c>
      <c r="F33" s="8" t="s">
        <v>27</v>
      </c>
      <c r="G33" s="8">
        <v>6</v>
      </c>
      <c r="H33" s="8">
        <v>2</v>
      </c>
    </row>
    <row r="34" spans="1:8" ht="15.6" x14ac:dyDescent="0.3">
      <c r="A34" s="2" t="s">
        <v>43</v>
      </c>
      <c r="B34" s="6">
        <v>42906</v>
      </c>
      <c r="C34" s="7">
        <v>40442</v>
      </c>
      <c r="D34" s="7">
        <v>8880</v>
      </c>
      <c r="E34" s="7">
        <v>7890</v>
      </c>
      <c r="F34" s="8" t="s">
        <v>44</v>
      </c>
      <c r="G34" s="8">
        <v>2</v>
      </c>
      <c r="H34" s="8">
        <v>5</v>
      </c>
    </row>
    <row r="35" spans="1:8" ht="15.6" x14ac:dyDescent="0.3">
      <c r="A35" s="2" t="s">
        <v>97</v>
      </c>
      <c r="B35" s="6">
        <v>42901</v>
      </c>
      <c r="C35" s="7">
        <v>20050</v>
      </c>
      <c r="D35" s="7">
        <v>9110</v>
      </c>
      <c r="E35" s="7">
        <v>3160</v>
      </c>
      <c r="F35" s="8" t="s">
        <v>15</v>
      </c>
      <c r="G35" s="8">
        <v>6</v>
      </c>
      <c r="H35" s="8">
        <v>5</v>
      </c>
    </row>
    <row r="36" spans="1:8" ht="15.6" x14ac:dyDescent="0.3">
      <c r="A36" s="2" t="s">
        <v>89</v>
      </c>
      <c r="B36" s="6">
        <v>42889</v>
      </c>
      <c r="C36" s="7">
        <v>21320</v>
      </c>
      <c r="D36" s="7">
        <v>9060</v>
      </c>
      <c r="E36" s="7">
        <v>60</v>
      </c>
      <c r="F36" s="8" t="s">
        <v>27</v>
      </c>
      <c r="G36" s="8">
        <v>3</v>
      </c>
      <c r="H36" s="8">
        <v>3</v>
      </c>
    </row>
    <row r="37" spans="1:8" ht="15.6" x14ac:dyDescent="0.3">
      <c r="A37" s="2" t="s">
        <v>107</v>
      </c>
      <c r="B37" s="6">
        <v>42888</v>
      </c>
      <c r="C37" s="7">
        <v>22316</v>
      </c>
      <c r="D37" s="7">
        <v>38050</v>
      </c>
      <c r="E37" s="7">
        <v>60</v>
      </c>
      <c r="F37" s="8" t="s">
        <v>11</v>
      </c>
      <c r="G37" s="8">
        <v>2</v>
      </c>
      <c r="H37" s="8">
        <v>5</v>
      </c>
    </row>
    <row r="38" spans="1:8" ht="15.6" x14ac:dyDescent="0.3">
      <c r="A38" s="2" t="s">
        <v>58</v>
      </c>
      <c r="B38" s="6">
        <v>42877</v>
      </c>
      <c r="C38" s="7">
        <v>16859</v>
      </c>
      <c r="D38" s="7">
        <v>3870</v>
      </c>
      <c r="E38" s="7">
        <v>530</v>
      </c>
      <c r="F38" s="8" t="s">
        <v>44</v>
      </c>
      <c r="G38" s="8">
        <v>3</v>
      </c>
      <c r="H38" s="8">
        <v>5</v>
      </c>
    </row>
    <row r="39" spans="1:8" ht="15.6" x14ac:dyDescent="0.3">
      <c r="A39" s="2" t="s">
        <v>60</v>
      </c>
      <c r="B39" s="6">
        <v>42874</v>
      </c>
      <c r="C39" s="7">
        <v>18383</v>
      </c>
      <c r="D39" s="7">
        <v>9900</v>
      </c>
      <c r="E39" s="7">
        <v>60</v>
      </c>
      <c r="F39" s="8" t="s">
        <v>13</v>
      </c>
      <c r="G39" s="8">
        <v>2</v>
      </c>
      <c r="H39" s="8">
        <v>4</v>
      </c>
    </row>
    <row r="40" spans="1:8" ht="15.6" x14ac:dyDescent="0.3">
      <c r="A40" s="2" t="s">
        <v>61</v>
      </c>
      <c r="B40" s="6">
        <v>42874</v>
      </c>
      <c r="C40" s="7">
        <v>41327</v>
      </c>
      <c r="D40" s="7">
        <v>2350</v>
      </c>
      <c r="E40" s="7">
        <v>1360</v>
      </c>
      <c r="F40" s="8" t="s">
        <v>33</v>
      </c>
      <c r="G40" s="8">
        <v>4</v>
      </c>
      <c r="H40" s="8">
        <v>2</v>
      </c>
    </row>
    <row r="41" spans="1:8" ht="15.6" x14ac:dyDescent="0.3">
      <c r="A41" s="2" t="s">
        <v>29</v>
      </c>
      <c r="B41" s="6">
        <v>42865</v>
      </c>
      <c r="C41" s="7">
        <v>16551</v>
      </c>
      <c r="D41" s="7">
        <v>6450</v>
      </c>
      <c r="E41" s="7">
        <v>3840.0000000000005</v>
      </c>
      <c r="F41" s="8" t="s">
        <v>9</v>
      </c>
      <c r="G41" s="8">
        <v>3</v>
      </c>
      <c r="H41" s="8">
        <v>2</v>
      </c>
    </row>
    <row r="42" spans="1:8" ht="15.6" x14ac:dyDescent="0.3">
      <c r="A42" s="2" t="s">
        <v>64</v>
      </c>
      <c r="B42" s="6">
        <v>42854</v>
      </c>
      <c r="C42" s="7">
        <v>35636</v>
      </c>
      <c r="D42" s="7">
        <v>5130</v>
      </c>
      <c r="E42" s="7">
        <v>3120</v>
      </c>
      <c r="F42" s="8" t="s">
        <v>20</v>
      </c>
      <c r="G42" s="8">
        <v>5</v>
      </c>
      <c r="H42" s="8">
        <v>1</v>
      </c>
    </row>
    <row r="43" spans="1:8" ht="15.6" x14ac:dyDescent="0.3">
      <c r="A43" s="2" t="s">
        <v>32</v>
      </c>
      <c r="B43" s="6">
        <v>42848</v>
      </c>
      <c r="C43" s="7">
        <v>41167</v>
      </c>
      <c r="D43" s="7">
        <v>3610</v>
      </c>
      <c r="E43" s="7">
        <v>60</v>
      </c>
      <c r="F43" s="8" t="s">
        <v>33</v>
      </c>
      <c r="G43" s="8">
        <v>4</v>
      </c>
      <c r="H43" s="8">
        <v>1</v>
      </c>
    </row>
    <row r="44" spans="1:8" ht="15.6" x14ac:dyDescent="0.3">
      <c r="A44" s="2" t="s">
        <v>115</v>
      </c>
      <c r="B44" s="6">
        <v>42848</v>
      </c>
      <c r="C44" s="7">
        <v>31539</v>
      </c>
      <c r="D44" s="7">
        <v>29050</v>
      </c>
      <c r="E44" s="7">
        <v>60</v>
      </c>
      <c r="F44" s="8" t="s">
        <v>9</v>
      </c>
      <c r="G44" s="8">
        <v>2</v>
      </c>
      <c r="H44" s="8">
        <v>5</v>
      </c>
    </row>
    <row r="45" spans="1:8" ht="15.6" x14ac:dyDescent="0.3">
      <c r="A45" s="2" t="s">
        <v>38</v>
      </c>
      <c r="B45" s="6">
        <v>42847</v>
      </c>
      <c r="C45" s="7">
        <v>34091</v>
      </c>
      <c r="D45" s="7">
        <v>17000</v>
      </c>
      <c r="E45" s="7">
        <v>5860</v>
      </c>
      <c r="F45" s="8" t="s">
        <v>13</v>
      </c>
      <c r="G45" s="8">
        <v>5</v>
      </c>
      <c r="H45" s="8">
        <v>4</v>
      </c>
    </row>
    <row r="46" spans="1:8" ht="15.6" x14ac:dyDescent="0.3">
      <c r="A46" s="2" t="s">
        <v>72</v>
      </c>
      <c r="B46" s="6">
        <v>42843</v>
      </c>
      <c r="C46" s="7">
        <v>26169</v>
      </c>
      <c r="D46" s="7">
        <v>6810</v>
      </c>
      <c r="E46" s="7">
        <v>60</v>
      </c>
      <c r="F46" s="8" t="s">
        <v>27</v>
      </c>
      <c r="G46" s="8">
        <v>1</v>
      </c>
      <c r="H46" s="8">
        <v>3</v>
      </c>
    </row>
    <row r="47" spans="1:8" ht="15.6" x14ac:dyDescent="0.3">
      <c r="A47" s="2" t="s">
        <v>79</v>
      </c>
      <c r="B47" s="6">
        <v>42843</v>
      </c>
      <c r="C47" s="7">
        <v>33852</v>
      </c>
      <c r="D47" s="7">
        <v>1860</v>
      </c>
      <c r="E47" s="7">
        <v>2220</v>
      </c>
      <c r="F47" s="8" t="s">
        <v>13</v>
      </c>
      <c r="G47" s="8">
        <v>3</v>
      </c>
      <c r="H47" s="8">
        <v>3</v>
      </c>
    </row>
    <row r="48" spans="1:8" ht="15.6" x14ac:dyDescent="0.3">
      <c r="A48" s="2" t="s">
        <v>74</v>
      </c>
      <c r="B48" s="6">
        <v>42836</v>
      </c>
      <c r="C48" s="7">
        <v>41426</v>
      </c>
      <c r="D48" s="7">
        <v>12600</v>
      </c>
      <c r="E48" s="7">
        <v>60</v>
      </c>
      <c r="F48" s="8" t="s">
        <v>11</v>
      </c>
      <c r="G48" s="8">
        <v>4</v>
      </c>
      <c r="H48" s="8">
        <v>4</v>
      </c>
    </row>
    <row r="49" spans="1:8" ht="15.6" x14ac:dyDescent="0.3">
      <c r="A49" s="2" t="s">
        <v>98</v>
      </c>
      <c r="B49" s="6">
        <v>42829</v>
      </c>
      <c r="C49" s="7">
        <v>19595</v>
      </c>
      <c r="D49" s="7">
        <v>3930</v>
      </c>
      <c r="E49" s="7">
        <v>6540</v>
      </c>
      <c r="F49" s="8" t="s">
        <v>20</v>
      </c>
      <c r="G49" s="8">
        <v>2</v>
      </c>
      <c r="H49" s="8">
        <v>1</v>
      </c>
    </row>
    <row r="50" spans="1:8" ht="15.6" x14ac:dyDescent="0.3">
      <c r="A50" s="2" t="s">
        <v>52</v>
      </c>
      <c r="B50" s="6">
        <v>42826</v>
      </c>
      <c r="C50" s="7">
        <v>20930</v>
      </c>
      <c r="D50" s="7">
        <v>9110</v>
      </c>
      <c r="E50" s="7">
        <v>1300</v>
      </c>
      <c r="F50" s="8" t="s">
        <v>15</v>
      </c>
      <c r="G50" s="8">
        <v>5</v>
      </c>
      <c r="H50" s="8">
        <v>2</v>
      </c>
    </row>
    <row r="51" spans="1:8" ht="15.6" x14ac:dyDescent="0.3">
      <c r="A51" s="2" t="s">
        <v>48</v>
      </c>
      <c r="B51" s="6">
        <v>42825</v>
      </c>
      <c r="C51" s="7">
        <v>17952</v>
      </c>
      <c r="D51" s="7">
        <v>2370</v>
      </c>
      <c r="E51" s="7">
        <v>940</v>
      </c>
      <c r="F51" s="8" t="s">
        <v>33</v>
      </c>
      <c r="G51" s="8">
        <v>3</v>
      </c>
      <c r="H51" s="8">
        <v>4</v>
      </c>
    </row>
    <row r="52" spans="1:8" ht="15.6" x14ac:dyDescent="0.3">
      <c r="A52" s="2" t="s">
        <v>30</v>
      </c>
      <c r="B52" s="6">
        <v>42823</v>
      </c>
      <c r="C52" s="7">
        <v>31163</v>
      </c>
      <c r="D52" s="7">
        <v>2670</v>
      </c>
      <c r="E52" s="7">
        <v>4380</v>
      </c>
      <c r="F52" s="8" t="s">
        <v>31</v>
      </c>
      <c r="G52" s="8">
        <v>1</v>
      </c>
      <c r="H52" s="8">
        <v>2</v>
      </c>
    </row>
    <row r="53" spans="1:8" ht="15.6" x14ac:dyDescent="0.3">
      <c r="A53" s="2" t="s">
        <v>113</v>
      </c>
      <c r="B53" s="6">
        <v>42823</v>
      </c>
      <c r="C53" s="7">
        <v>18898</v>
      </c>
      <c r="D53" s="7">
        <v>53050</v>
      </c>
      <c r="E53" s="7">
        <v>60</v>
      </c>
      <c r="F53" s="8" t="s">
        <v>9</v>
      </c>
      <c r="G53" s="8">
        <v>5</v>
      </c>
      <c r="H53" s="8">
        <v>5</v>
      </c>
    </row>
    <row r="54" spans="1:8" ht="15.6" x14ac:dyDescent="0.3">
      <c r="A54" s="2" t="s">
        <v>94</v>
      </c>
      <c r="B54" s="6">
        <v>42819</v>
      </c>
      <c r="C54" s="7">
        <v>23784</v>
      </c>
      <c r="D54" s="7">
        <v>5850</v>
      </c>
      <c r="E54" s="7">
        <v>3420.0000000000005</v>
      </c>
      <c r="F54" s="8" t="s">
        <v>11</v>
      </c>
      <c r="G54" s="8">
        <v>2</v>
      </c>
      <c r="H54" s="8">
        <v>5</v>
      </c>
    </row>
    <row r="55" spans="1:8" ht="15.6" x14ac:dyDescent="0.3">
      <c r="A55" s="2" t="s">
        <v>14</v>
      </c>
      <c r="B55" s="6">
        <v>42808</v>
      </c>
      <c r="C55" s="7">
        <v>44803</v>
      </c>
      <c r="D55" s="7">
        <v>6810</v>
      </c>
      <c r="E55" s="7">
        <v>4860</v>
      </c>
      <c r="F55" s="8" t="s">
        <v>15</v>
      </c>
      <c r="G55" s="8">
        <v>2</v>
      </c>
      <c r="H55" s="8">
        <v>3</v>
      </c>
    </row>
    <row r="56" spans="1:8" ht="15.6" x14ac:dyDescent="0.3">
      <c r="A56" s="2" t="s">
        <v>42</v>
      </c>
      <c r="B56" s="6">
        <v>42804</v>
      </c>
      <c r="C56" s="7">
        <v>39034</v>
      </c>
      <c r="D56" s="7">
        <v>5910</v>
      </c>
      <c r="E56" s="7">
        <v>60</v>
      </c>
      <c r="F56" s="8" t="s">
        <v>33</v>
      </c>
      <c r="G56" s="8">
        <v>3</v>
      </c>
      <c r="H56" s="8">
        <v>5</v>
      </c>
    </row>
    <row r="57" spans="1:8" ht="15.6" x14ac:dyDescent="0.3">
      <c r="A57" s="2" t="s">
        <v>78</v>
      </c>
      <c r="B57" s="6">
        <v>42801</v>
      </c>
      <c r="C57" s="7">
        <v>23138</v>
      </c>
      <c r="D57" s="7">
        <v>12600</v>
      </c>
      <c r="E57" s="7">
        <v>60</v>
      </c>
      <c r="F57" s="8" t="s">
        <v>11</v>
      </c>
      <c r="G57" s="8">
        <v>4</v>
      </c>
      <c r="H57" s="8">
        <v>1</v>
      </c>
    </row>
    <row r="58" spans="1:8" ht="15.6" x14ac:dyDescent="0.3">
      <c r="A58" s="2" t="s">
        <v>92</v>
      </c>
      <c r="B58" s="6">
        <v>42787</v>
      </c>
      <c r="C58" s="7">
        <v>24827</v>
      </c>
      <c r="D58" s="7">
        <v>5210</v>
      </c>
      <c r="E58" s="7">
        <v>700</v>
      </c>
      <c r="F58" s="8" t="s">
        <v>9</v>
      </c>
      <c r="G58" s="8">
        <v>1</v>
      </c>
      <c r="H58" s="8">
        <v>1</v>
      </c>
    </row>
    <row r="59" spans="1:8" ht="15.6" x14ac:dyDescent="0.3">
      <c r="A59" s="2" t="s">
        <v>90</v>
      </c>
      <c r="B59" s="6">
        <v>42786</v>
      </c>
      <c r="C59" s="7">
        <v>35371</v>
      </c>
      <c r="D59" s="7">
        <v>5250</v>
      </c>
      <c r="E59" s="7">
        <v>60</v>
      </c>
      <c r="F59" s="8" t="s">
        <v>31</v>
      </c>
      <c r="G59" s="8">
        <v>1</v>
      </c>
      <c r="H59" s="8">
        <v>3</v>
      </c>
    </row>
    <row r="60" spans="1:8" ht="15.6" x14ac:dyDescent="0.3">
      <c r="A60" s="2" t="s">
        <v>53</v>
      </c>
      <c r="B60" s="6">
        <v>42768</v>
      </c>
      <c r="C60" s="7">
        <v>23890</v>
      </c>
      <c r="D60" s="7">
        <v>9090</v>
      </c>
      <c r="E60" s="7">
        <v>3410</v>
      </c>
      <c r="F60" s="8" t="s">
        <v>33</v>
      </c>
      <c r="G60" s="8">
        <v>3</v>
      </c>
      <c r="H60" s="8">
        <v>1</v>
      </c>
    </row>
    <row r="61" spans="1:8" ht="15.6" x14ac:dyDescent="0.3">
      <c r="A61" s="2" t="s">
        <v>91</v>
      </c>
      <c r="B61" s="6">
        <v>42764</v>
      </c>
      <c r="C61" s="7">
        <v>44500</v>
      </c>
      <c r="D61" s="7">
        <v>3290</v>
      </c>
      <c r="E61" s="7">
        <v>60</v>
      </c>
      <c r="F61" s="8" t="s">
        <v>44</v>
      </c>
      <c r="G61" s="8">
        <v>3</v>
      </c>
      <c r="H61" s="8">
        <v>3</v>
      </c>
    </row>
    <row r="62" spans="1:8" ht="15.6" x14ac:dyDescent="0.3">
      <c r="A62" s="2" t="s">
        <v>39</v>
      </c>
      <c r="B62" s="6">
        <v>42758</v>
      </c>
      <c r="C62" s="7">
        <v>17220</v>
      </c>
      <c r="D62" s="7">
        <v>4350</v>
      </c>
      <c r="E62" s="7">
        <v>3060</v>
      </c>
      <c r="F62" s="8" t="s">
        <v>11</v>
      </c>
      <c r="G62" s="8">
        <v>3</v>
      </c>
      <c r="H62" s="8">
        <v>3</v>
      </c>
    </row>
    <row r="63" spans="1:8" ht="15.6" x14ac:dyDescent="0.3">
      <c r="A63" s="2" t="s">
        <v>10</v>
      </c>
      <c r="B63" s="6">
        <v>42750</v>
      </c>
      <c r="C63" s="7">
        <v>32030</v>
      </c>
      <c r="D63" s="7">
        <v>2800</v>
      </c>
      <c r="E63" s="7">
        <v>1110</v>
      </c>
      <c r="F63" s="8" t="s">
        <v>11</v>
      </c>
      <c r="G63" s="8">
        <v>3</v>
      </c>
      <c r="H63" s="8">
        <v>4</v>
      </c>
    </row>
    <row r="64" spans="1:8" ht="15.6" x14ac:dyDescent="0.3">
      <c r="A64" s="2" t="s">
        <v>103</v>
      </c>
      <c r="B64" s="6">
        <v>42743</v>
      </c>
      <c r="C64" s="7">
        <v>38493</v>
      </c>
      <c r="D64" s="7">
        <v>6440.0000000000009</v>
      </c>
      <c r="E64" s="7">
        <v>60</v>
      </c>
      <c r="F64" s="8" t="s">
        <v>27</v>
      </c>
      <c r="G64" s="8">
        <v>3</v>
      </c>
      <c r="H64" s="8">
        <v>3</v>
      </c>
    </row>
    <row r="65" spans="1:8" ht="15.6" x14ac:dyDescent="0.3">
      <c r="A65" s="2" t="s">
        <v>55</v>
      </c>
      <c r="B65" s="6">
        <v>42730</v>
      </c>
      <c r="C65" s="7">
        <v>21940</v>
      </c>
      <c r="D65" s="7">
        <v>2550</v>
      </c>
      <c r="E65" s="7">
        <v>810</v>
      </c>
      <c r="F65" s="8" t="s">
        <v>20</v>
      </c>
      <c r="G65" s="8">
        <v>1</v>
      </c>
      <c r="H65" s="8">
        <v>1</v>
      </c>
    </row>
    <row r="66" spans="1:8" ht="15.6" x14ac:dyDescent="0.3">
      <c r="A66" s="2" t="s">
        <v>24</v>
      </c>
      <c r="B66" s="6">
        <v>42724</v>
      </c>
      <c r="C66" s="7">
        <v>43810</v>
      </c>
      <c r="D66" s="7">
        <v>4690</v>
      </c>
      <c r="E66" s="7">
        <v>1460</v>
      </c>
      <c r="F66" s="8" t="s">
        <v>11</v>
      </c>
      <c r="G66" s="8">
        <v>1</v>
      </c>
      <c r="H66" s="8">
        <v>2</v>
      </c>
    </row>
    <row r="67" spans="1:8" ht="15.6" x14ac:dyDescent="0.3">
      <c r="A67" s="2" t="s">
        <v>59</v>
      </c>
      <c r="B67" s="6">
        <v>42724</v>
      </c>
      <c r="C67" s="7">
        <v>30585</v>
      </c>
      <c r="D67" s="7">
        <v>7680</v>
      </c>
      <c r="E67" s="7">
        <v>2100</v>
      </c>
      <c r="F67" s="8" t="s">
        <v>20</v>
      </c>
      <c r="G67" s="8">
        <v>1</v>
      </c>
      <c r="H67" s="8">
        <v>3</v>
      </c>
    </row>
    <row r="68" spans="1:8" ht="15.6" x14ac:dyDescent="0.3">
      <c r="A68" s="2" t="s">
        <v>34</v>
      </c>
      <c r="B68" s="6">
        <v>42700</v>
      </c>
      <c r="C68" s="7">
        <v>43524</v>
      </c>
      <c r="D68" s="7">
        <v>9370</v>
      </c>
      <c r="E68" s="7">
        <v>5180</v>
      </c>
      <c r="F68" s="8" t="s">
        <v>31</v>
      </c>
      <c r="G68" s="8">
        <v>5</v>
      </c>
      <c r="H68" s="8">
        <v>1</v>
      </c>
    </row>
    <row r="69" spans="1:8" ht="15.6" x14ac:dyDescent="0.3">
      <c r="A69" s="2" t="s">
        <v>76</v>
      </c>
      <c r="B69" s="6">
        <v>42686</v>
      </c>
      <c r="C69" s="7">
        <v>27009</v>
      </c>
      <c r="D69" s="7">
        <v>10400</v>
      </c>
      <c r="E69" s="7">
        <v>60</v>
      </c>
      <c r="F69" s="8" t="s">
        <v>33</v>
      </c>
      <c r="G69" s="8">
        <v>1</v>
      </c>
      <c r="H69" s="8">
        <v>5</v>
      </c>
    </row>
    <row r="70" spans="1:8" ht="15.6" x14ac:dyDescent="0.3">
      <c r="A70" s="2" t="s">
        <v>87</v>
      </c>
      <c r="B70" s="6">
        <v>42686</v>
      </c>
      <c r="C70" s="7">
        <v>24839</v>
      </c>
      <c r="D70" s="7">
        <v>2370</v>
      </c>
      <c r="E70" s="7">
        <v>2040</v>
      </c>
      <c r="F70" s="8" t="s">
        <v>33</v>
      </c>
      <c r="G70" s="8">
        <v>3</v>
      </c>
      <c r="H70" s="8">
        <v>4</v>
      </c>
    </row>
    <row r="71" spans="1:8" ht="15.6" x14ac:dyDescent="0.3">
      <c r="A71" s="2" t="s">
        <v>22</v>
      </c>
      <c r="B71" s="6">
        <v>42681</v>
      </c>
      <c r="C71" s="7">
        <v>31475</v>
      </c>
      <c r="D71" s="7">
        <v>9190</v>
      </c>
      <c r="E71" s="7">
        <v>2280</v>
      </c>
      <c r="F71" s="8" t="s">
        <v>15</v>
      </c>
      <c r="G71" s="8">
        <v>4</v>
      </c>
      <c r="H71" s="8">
        <v>1</v>
      </c>
    </row>
    <row r="72" spans="1:8" ht="15.6" x14ac:dyDescent="0.3">
      <c r="A72" s="2" t="s">
        <v>84</v>
      </c>
      <c r="B72" s="6">
        <v>42681</v>
      </c>
      <c r="C72" s="7">
        <v>22592</v>
      </c>
      <c r="D72" s="7">
        <v>6350</v>
      </c>
      <c r="E72" s="7">
        <v>590</v>
      </c>
      <c r="F72" s="8" t="s">
        <v>20</v>
      </c>
      <c r="G72" s="8">
        <v>2</v>
      </c>
      <c r="H72" s="8">
        <v>1</v>
      </c>
    </row>
    <row r="73" spans="1:8" ht="15.6" x14ac:dyDescent="0.3">
      <c r="A73" s="2" t="s">
        <v>40</v>
      </c>
      <c r="B73" s="6">
        <v>42282</v>
      </c>
      <c r="C73" s="7">
        <v>44690</v>
      </c>
      <c r="D73" s="7">
        <v>6650.0000000000009</v>
      </c>
      <c r="E73" s="7">
        <v>60</v>
      </c>
      <c r="F73" s="8" t="s">
        <v>9</v>
      </c>
      <c r="G73" s="8">
        <v>6</v>
      </c>
      <c r="H73" s="8">
        <v>5</v>
      </c>
    </row>
    <row r="74" spans="1:8" ht="15.6" x14ac:dyDescent="0.3">
      <c r="A74" s="2" t="s">
        <v>16</v>
      </c>
      <c r="B74" s="6">
        <v>42269</v>
      </c>
      <c r="C74" s="7">
        <v>15005</v>
      </c>
      <c r="D74" s="7">
        <v>7770.0000000000009</v>
      </c>
      <c r="E74" s="7">
        <v>2460</v>
      </c>
      <c r="F74" s="8" t="s">
        <v>11</v>
      </c>
      <c r="G74" s="8">
        <v>5</v>
      </c>
      <c r="H74" s="8">
        <v>3</v>
      </c>
    </row>
    <row r="75" spans="1:8" ht="15.6" x14ac:dyDescent="0.3">
      <c r="A75" s="2" t="s">
        <v>36</v>
      </c>
      <c r="B75" s="6">
        <v>42263</v>
      </c>
      <c r="C75" s="7">
        <v>33842</v>
      </c>
      <c r="D75" s="7">
        <v>7650</v>
      </c>
      <c r="E75" s="7">
        <v>5560</v>
      </c>
      <c r="F75" s="8" t="s">
        <v>15</v>
      </c>
      <c r="G75" s="8">
        <v>3</v>
      </c>
      <c r="H75" s="8">
        <v>5</v>
      </c>
    </row>
    <row r="76" spans="1:8" ht="15.6" x14ac:dyDescent="0.3">
      <c r="A76" s="2" t="s">
        <v>57</v>
      </c>
      <c r="B76" s="6">
        <v>42256</v>
      </c>
      <c r="C76" s="7">
        <v>32585</v>
      </c>
      <c r="D76" s="7">
        <v>3100</v>
      </c>
      <c r="E76" s="7">
        <v>1700</v>
      </c>
      <c r="F76" s="8" t="s">
        <v>15</v>
      </c>
      <c r="G76" s="8">
        <v>1</v>
      </c>
      <c r="H76" s="8">
        <v>2</v>
      </c>
    </row>
    <row r="77" spans="1:8" ht="15.6" x14ac:dyDescent="0.3">
      <c r="A77" s="2" t="s">
        <v>96</v>
      </c>
      <c r="B77" s="6">
        <v>42254</v>
      </c>
      <c r="C77" s="7">
        <v>24753</v>
      </c>
      <c r="D77" s="7">
        <v>9150</v>
      </c>
      <c r="E77" s="7">
        <v>1680</v>
      </c>
      <c r="F77" s="8" t="s">
        <v>11</v>
      </c>
      <c r="G77" s="8">
        <v>3</v>
      </c>
      <c r="H77" s="8">
        <v>1</v>
      </c>
    </row>
    <row r="78" spans="1:8" ht="15.6" x14ac:dyDescent="0.3">
      <c r="A78" s="2" t="s">
        <v>106</v>
      </c>
      <c r="B78" s="6">
        <v>42239</v>
      </c>
      <c r="C78" s="7">
        <v>34276</v>
      </c>
      <c r="D78" s="7">
        <v>43050</v>
      </c>
      <c r="E78" s="7">
        <v>60</v>
      </c>
      <c r="F78" s="8" t="s">
        <v>33</v>
      </c>
      <c r="G78" s="8">
        <v>4</v>
      </c>
      <c r="H78" s="8">
        <v>4</v>
      </c>
    </row>
    <row r="79" spans="1:8" ht="15.6" x14ac:dyDescent="0.3">
      <c r="A79" s="2" t="s">
        <v>19</v>
      </c>
      <c r="B79" s="6">
        <v>42231</v>
      </c>
      <c r="C79" s="7">
        <v>37754</v>
      </c>
      <c r="D79" s="7">
        <v>3690</v>
      </c>
      <c r="E79" s="7">
        <v>1380</v>
      </c>
      <c r="F79" s="8" t="s">
        <v>20</v>
      </c>
      <c r="G79" s="8">
        <v>1</v>
      </c>
      <c r="H79" s="8">
        <v>3</v>
      </c>
    </row>
    <row r="80" spans="1:8" ht="15.6" x14ac:dyDescent="0.3">
      <c r="A80" s="2" t="s">
        <v>17</v>
      </c>
      <c r="B80" s="6">
        <v>42214</v>
      </c>
      <c r="C80" s="7">
        <v>16158</v>
      </c>
      <c r="D80" s="7">
        <v>6450</v>
      </c>
      <c r="E80" s="7">
        <v>4920</v>
      </c>
      <c r="F80" s="8" t="s">
        <v>15</v>
      </c>
      <c r="G80" s="8">
        <v>3</v>
      </c>
      <c r="H80" s="8">
        <v>5</v>
      </c>
    </row>
    <row r="81" spans="1:10" ht="15.6" x14ac:dyDescent="0.3">
      <c r="A81" s="2" t="s">
        <v>70</v>
      </c>
      <c r="B81" s="6">
        <v>42205</v>
      </c>
      <c r="C81" s="7">
        <v>17221</v>
      </c>
      <c r="D81" s="7">
        <v>8610</v>
      </c>
      <c r="E81" s="7">
        <v>4470</v>
      </c>
      <c r="F81" s="8" t="s">
        <v>33</v>
      </c>
      <c r="G81" s="8">
        <v>1</v>
      </c>
      <c r="H81" s="8">
        <v>3</v>
      </c>
    </row>
    <row r="82" spans="1:10" ht="15.6" x14ac:dyDescent="0.3">
      <c r="A82" s="2" t="s">
        <v>49</v>
      </c>
      <c r="B82" s="6">
        <v>42188</v>
      </c>
      <c r="C82" s="7">
        <v>24111</v>
      </c>
      <c r="D82" s="7">
        <v>4890</v>
      </c>
      <c r="E82" s="7">
        <v>4380</v>
      </c>
      <c r="F82" s="8" t="s">
        <v>33</v>
      </c>
      <c r="G82" s="8">
        <v>5</v>
      </c>
      <c r="H82" s="8">
        <v>5</v>
      </c>
    </row>
    <row r="83" spans="1:10" ht="15.6" x14ac:dyDescent="0.3">
      <c r="A83" s="2" t="s">
        <v>77</v>
      </c>
      <c r="B83" s="6">
        <v>42184</v>
      </c>
      <c r="C83" s="7">
        <v>29699</v>
      </c>
      <c r="D83" s="7">
        <v>10400</v>
      </c>
      <c r="E83" s="7">
        <v>60</v>
      </c>
      <c r="F83" s="8" t="s">
        <v>9</v>
      </c>
      <c r="G83" s="8">
        <v>4</v>
      </c>
      <c r="H83" s="8">
        <v>4</v>
      </c>
      <c r="J83">
        <f>MAX(Data[Salary])</f>
        <v>44803</v>
      </c>
    </row>
    <row r="84" spans="1:10" ht="15.6" x14ac:dyDescent="0.3">
      <c r="A84" s="2" t="s">
        <v>81</v>
      </c>
      <c r="B84" s="6">
        <v>42180</v>
      </c>
      <c r="C84" s="7">
        <v>27212</v>
      </c>
      <c r="D84" s="7">
        <v>3570.0000000000005</v>
      </c>
      <c r="E84" s="7">
        <v>1860</v>
      </c>
      <c r="F84" s="8" t="s">
        <v>15</v>
      </c>
      <c r="G84" s="8">
        <v>1</v>
      </c>
      <c r="H84" s="8">
        <v>1</v>
      </c>
    </row>
    <row r="85" spans="1:10" ht="15.6" x14ac:dyDescent="0.3">
      <c r="A85" s="2" t="s">
        <v>41</v>
      </c>
      <c r="B85" s="6">
        <v>42175</v>
      </c>
      <c r="C85" s="7">
        <v>32799</v>
      </c>
      <c r="D85" s="7">
        <v>8130</v>
      </c>
      <c r="E85" s="7">
        <v>1240</v>
      </c>
      <c r="F85" s="8" t="s">
        <v>27</v>
      </c>
      <c r="G85" s="8">
        <v>3</v>
      </c>
      <c r="H85" s="8">
        <v>5</v>
      </c>
    </row>
    <row r="86" spans="1:10" ht="15.6" x14ac:dyDescent="0.3">
      <c r="A86" s="2" t="s">
        <v>116</v>
      </c>
      <c r="B86" s="6">
        <v>42164</v>
      </c>
      <c r="C86" s="7">
        <v>25745</v>
      </c>
      <c r="D86" s="7">
        <v>53050</v>
      </c>
      <c r="E86" s="7">
        <v>60</v>
      </c>
      <c r="F86" s="8" t="s">
        <v>9</v>
      </c>
      <c r="G86" s="8">
        <v>2</v>
      </c>
      <c r="H86" s="8">
        <v>1</v>
      </c>
    </row>
    <row r="87" spans="1:10" ht="15.6" x14ac:dyDescent="0.3">
      <c r="A87" s="2" t="s">
        <v>18</v>
      </c>
      <c r="B87" s="6">
        <v>42163</v>
      </c>
      <c r="C87" s="7">
        <v>27649</v>
      </c>
      <c r="D87" s="7">
        <v>4200</v>
      </c>
      <c r="E87" s="7">
        <v>3840</v>
      </c>
      <c r="F87" s="8" t="s">
        <v>9</v>
      </c>
      <c r="G87" s="8">
        <v>4</v>
      </c>
      <c r="H87" s="8">
        <v>3</v>
      </c>
    </row>
    <row r="88" spans="1:10" ht="15.6" x14ac:dyDescent="0.3">
      <c r="A88" s="2" t="s">
        <v>35</v>
      </c>
      <c r="B88" s="6">
        <v>42156</v>
      </c>
      <c r="C88" s="7">
        <v>25799</v>
      </c>
      <c r="D88" s="7">
        <v>10800</v>
      </c>
      <c r="E88" s="7">
        <v>1560</v>
      </c>
      <c r="F88" s="8" t="s">
        <v>15</v>
      </c>
      <c r="G88" s="8">
        <v>4</v>
      </c>
      <c r="H88" s="8">
        <v>1</v>
      </c>
    </row>
    <row r="89" spans="1:10" ht="15.6" x14ac:dyDescent="0.3">
      <c r="A89" s="2" t="s">
        <v>51</v>
      </c>
      <c r="B89" s="6">
        <v>42148</v>
      </c>
      <c r="C89" s="7">
        <v>33942</v>
      </c>
      <c r="D89" s="7">
        <v>6270</v>
      </c>
      <c r="E89" s="7">
        <v>5280</v>
      </c>
      <c r="F89" s="8" t="s">
        <v>31</v>
      </c>
      <c r="G89" s="8">
        <v>6</v>
      </c>
      <c r="H89" s="8">
        <v>4</v>
      </c>
    </row>
    <row r="90" spans="1:10" ht="15.6" x14ac:dyDescent="0.3">
      <c r="A90" s="2" t="s">
        <v>23</v>
      </c>
      <c r="B90" s="6">
        <v>42122</v>
      </c>
      <c r="C90" s="7">
        <v>21260</v>
      </c>
      <c r="D90" s="7">
        <v>1800</v>
      </c>
      <c r="E90" s="7">
        <v>810</v>
      </c>
      <c r="F90" s="8" t="s">
        <v>15</v>
      </c>
      <c r="G90" s="8">
        <v>4</v>
      </c>
      <c r="H90" s="8">
        <v>5</v>
      </c>
    </row>
    <row r="91" spans="1:10" ht="15.6" x14ac:dyDescent="0.3">
      <c r="A91" s="2" t="s">
        <v>109</v>
      </c>
      <c r="B91" s="6">
        <v>42114</v>
      </c>
      <c r="C91" s="7">
        <v>31948</v>
      </c>
      <c r="D91" s="7">
        <v>36050</v>
      </c>
      <c r="E91" s="7">
        <v>60</v>
      </c>
      <c r="F91" s="8" t="s">
        <v>9</v>
      </c>
      <c r="G91" s="8">
        <v>5</v>
      </c>
      <c r="H91" s="8">
        <v>5</v>
      </c>
    </row>
    <row r="92" spans="1:10" ht="15.6" x14ac:dyDescent="0.3">
      <c r="A92" s="2" t="s">
        <v>105</v>
      </c>
      <c r="B92" s="6">
        <v>42101</v>
      </c>
      <c r="C92" s="7">
        <v>15461</v>
      </c>
      <c r="D92" s="7">
        <v>5780</v>
      </c>
      <c r="E92" s="7">
        <v>60</v>
      </c>
      <c r="F92" s="8" t="s">
        <v>11</v>
      </c>
      <c r="G92" s="8">
        <v>3</v>
      </c>
      <c r="H92" s="8">
        <v>2</v>
      </c>
    </row>
    <row r="93" spans="1:10" ht="15.6" x14ac:dyDescent="0.3">
      <c r="A93" s="2" t="s">
        <v>104</v>
      </c>
      <c r="B93" s="6">
        <v>42089</v>
      </c>
      <c r="C93" s="7">
        <v>28258</v>
      </c>
      <c r="D93" s="7">
        <v>27050</v>
      </c>
      <c r="E93" s="7">
        <v>60</v>
      </c>
      <c r="F93" s="8" t="s">
        <v>20</v>
      </c>
      <c r="G93" s="8">
        <v>4</v>
      </c>
      <c r="H93" s="8">
        <v>5</v>
      </c>
    </row>
    <row r="94" spans="1:10" ht="15.6" x14ac:dyDescent="0.3">
      <c r="A94" s="2" t="s">
        <v>62</v>
      </c>
      <c r="B94" s="6">
        <v>42087</v>
      </c>
      <c r="C94" s="7">
        <v>33473</v>
      </c>
      <c r="D94" s="7">
        <v>9890</v>
      </c>
      <c r="E94" s="7">
        <v>5500</v>
      </c>
      <c r="F94" s="8" t="s">
        <v>15</v>
      </c>
      <c r="G94" s="8">
        <v>3</v>
      </c>
      <c r="H94" s="8">
        <v>3</v>
      </c>
    </row>
    <row r="95" spans="1:10" ht="15.6" x14ac:dyDescent="0.3">
      <c r="A95" s="2" t="s">
        <v>71</v>
      </c>
      <c r="B95" s="6">
        <v>42066</v>
      </c>
      <c r="C95" s="7">
        <v>42478</v>
      </c>
      <c r="D95" s="7">
        <v>8610</v>
      </c>
      <c r="E95" s="7">
        <v>60</v>
      </c>
      <c r="F95" s="8" t="s">
        <v>20</v>
      </c>
      <c r="G95" s="8">
        <v>3</v>
      </c>
      <c r="H95" s="8">
        <v>2</v>
      </c>
    </row>
    <row r="96" spans="1:10" ht="15.6" x14ac:dyDescent="0.3">
      <c r="A96" s="2" t="s">
        <v>93</v>
      </c>
      <c r="B96" s="6">
        <v>42065</v>
      </c>
      <c r="C96" s="7">
        <v>36846</v>
      </c>
      <c r="D96" s="7">
        <v>4550</v>
      </c>
      <c r="E96" s="7">
        <v>2160</v>
      </c>
      <c r="F96" s="8" t="s">
        <v>31</v>
      </c>
      <c r="G96" s="8">
        <v>1</v>
      </c>
      <c r="H96" s="8">
        <v>2</v>
      </c>
    </row>
    <row r="97" spans="1:8" ht="15.6" x14ac:dyDescent="0.3">
      <c r="A97" s="2" t="s">
        <v>67</v>
      </c>
      <c r="B97" s="6">
        <v>42063</v>
      </c>
      <c r="C97" s="7">
        <v>26114</v>
      </c>
      <c r="D97" s="7">
        <v>2150</v>
      </c>
      <c r="E97" s="7">
        <v>60</v>
      </c>
      <c r="F97" s="8" t="s">
        <v>27</v>
      </c>
      <c r="G97" s="8">
        <v>5</v>
      </c>
      <c r="H97" s="8">
        <v>3</v>
      </c>
    </row>
    <row r="98" spans="1:8" ht="15.6" x14ac:dyDescent="0.3">
      <c r="A98" s="2" t="s">
        <v>80</v>
      </c>
      <c r="B98" s="6">
        <v>42063</v>
      </c>
      <c r="C98" s="7">
        <v>18981</v>
      </c>
      <c r="D98" s="7">
        <v>5550</v>
      </c>
      <c r="E98" s="7">
        <v>60</v>
      </c>
      <c r="F98" s="8" t="s">
        <v>27</v>
      </c>
      <c r="G98" s="8">
        <v>5</v>
      </c>
      <c r="H98" s="8">
        <v>4</v>
      </c>
    </row>
    <row r="99" spans="1:8" ht="15.6" x14ac:dyDescent="0.3">
      <c r="A99" s="2" t="s">
        <v>46</v>
      </c>
      <c r="B99" s="6">
        <v>42060</v>
      </c>
      <c r="C99" s="7">
        <v>20219</v>
      </c>
      <c r="D99" s="7">
        <v>4430</v>
      </c>
      <c r="E99" s="7">
        <v>840</v>
      </c>
      <c r="F99" s="8" t="s">
        <v>11</v>
      </c>
      <c r="G99" s="8">
        <v>5</v>
      </c>
      <c r="H99" s="8">
        <v>5</v>
      </c>
    </row>
    <row r="100" spans="1:8" ht="15.6" x14ac:dyDescent="0.3">
      <c r="A100" s="2" t="s">
        <v>68</v>
      </c>
      <c r="B100" s="6">
        <v>42033</v>
      </c>
      <c r="C100" s="7">
        <v>27770</v>
      </c>
      <c r="D100" s="7">
        <v>6950</v>
      </c>
      <c r="E100" s="7">
        <v>60</v>
      </c>
      <c r="F100" s="8" t="s">
        <v>11</v>
      </c>
      <c r="G100" s="8">
        <v>6</v>
      </c>
      <c r="H100" s="8">
        <v>4</v>
      </c>
    </row>
    <row r="101" spans="1:8" ht="15.6" x14ac:dyDescent="0.3">
      <c r="A101" s="2" t="s">
        <v>88</v>
      </c>
      <c r="B101" s="6">
        <v>42010</v>
      </c>
      <c r="C101" s="7">
        <v>18667</v>
      </c>
      <c r="D101" s="7">
        <v>14100</v>
      </c>
      <c r="E101" s="7">
        <v>7020</v>
      </c>
      <c r="F101" s="8" t="s">
        <v>27</v>
      </c>
      <c r="G101" s="8">
        <v>4</v>
      </c>
      <c r="H101" s="8">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8"/>
  <sheetViews>
    <sheetView workbookViewId="0">
      <selection activeCell="A26" sqref="A26"/>
    </sheetView>
  </sheetViews>
  <sheetFormatPr defaultRowHeight="14.4" x14ac:dyDescent="0.3"/>
  <cols>
    <col min="1" max="1" width="28.33203125" bestFit="1" customWidth="1"/>
  </cols>
  <sheetData>
    <row r="1" spans="1:1" x14ac:dyDescent="0.3">
      <c r="A1" s="17" t="s">
        <v>117</v>
      </c>
    </row>
    <row r="2" spans="1:1" x14ac:dyDescent="0.3">
      <c r="A2" t="s">
        <v>118</v>
      </c>
    </row>
    <row r="3" spans="1:1" x14ac:dyDescent="0.3">
      <c r="A3" t="s">
        <v>119</v>
      </c>
    </row>
    <row r="4" spans="1:1" x14ac:dyDescent="0.3">
      <c r="A4" t="s">
        <v>120</v>
      </c>
    </row>
    <row r="5" spans="1:1" x14ac:dyDescent="0.3">
      <c r="A5" t="s">
        <v>121</v>
      </c>
    </row>
    <row r="6" spans="1:1" x14ac:dyDescent="0.3">
      <c r="A6" t="s">
        <v>122</v>
      </c>
    </row>
    <row r="7" spans="1:1" x14ac:dyDescent="0.3">
      <c r="A7" t="s">
        <v>123</v>
      </c>
    </row>
    <row r="8" spans="1:1" x14ac:dyDescent="0.3">
      <c r="A8" t="s">
        <v>124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F50342EF-46D6-43B7-AEDB-18BA89258683}">
  <ds:schemaRefs/>
</ds:datastoreItem>
</file>

<file path=customXml/itemProps2.xml><?xml version="1.0" encoding="utf-8"?>
<ds:datastoreItem xmlns:ds="http://schemas.openxmlformats.org/officeDocument/2006/customXml" ds:itemID="{C28D9AF3-68B6-4CB8-9FEE-C3FE370BA3BC}">
  <ds:schemaRefs/>
</ds:datastoreItem>
</file>

<file path=customXml/itemProps3.xml><?xml version="1.0" encoding="utf-8"?>
<ds:datastoreItem xmlns:ds="http://schemas.openxmlformats.org/officeDocument/2006/customXml" ds:itemID="{96FA10DB-4352-4B30-A2C1-00D24107B53B}">
  <ds:schemaRefs/>
</ds:datastoreItem>
</file>

<file path=customXml/itemProps4.xml><?xml version="1.0" encoding="utf-8"?>
<ds:datastoreItem xmlns:ds="http://schemas.openxmlformats.org/officeDocument/2006/customXml" ds:itemID="{5DA274EA-A677-4C37-BBCC-4DEE4130891C}">
  <ds:schemaRefs/>
</ds:datastoreItem>
</file>

<file path=customXml/itemProps5.xml><?xml version="1.0" encoding="utf-8"?>
<ds:datastoreItem xmlns:ds="http://schemas.openxmlformats.org/officeDocument/2006/customXml" ds:itemID="{6E61AFE3-0F59-49CB-B020-62012491CB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Task</vt:lpstr>
      <vt:lpstr>Final image - KPI</vt:lpstr>
      <vt:lpstr>Sheet1</vt:lpstr>
      <vt:lpstr>Sheet2</vt:lpstr>
      <vt:lpstr>HR Data</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dc:creator>
  <cp:lastModifiedBy>Khalil Alakbarzada</cp:lastModifiedBy>
  <dcterms:created xsi:type="dcterms:W3CDTF">2018-06-17T09:23:26Z</dcterms:created>
  <dcterms:modified xsi:type="dcterms:W3CDTF">2023-03-04T17:09:06Z</dcterms:modified>
</cp:coreProperties>
</file>