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view - KPI" sheetId="1" r:id="rId4"/>
    <sheet state="visible" name="Data" sheetId="2" r:id="rId5"/>
    <sheet state="visible" name="Sheet1" sheetId="3" r:id="rId6"/>
    <sheet state="visible" name="Dashboard" sheetId="4" r:id="rId7"/>
  </sheets>
  <externalReferences>
    <externalReference r:id="rId8"/>
  </externalReferences>
  <definedNames>
    <definedName localSheetId="1" name="TotalRev">[1]Calculation!$L$5</definedName>
    <definedName name="Slicer_Year1">#REF!</definedName>
    <definedName name="Slicer_Region">#REF!</definedName>
    <definedName name="Slicer_Category">#REF!</definedName>
  </definedNames>
  <calcPr/>
  <extLst>
    <ext uri="GoogleSheetsCustomDataVersion2">
      <go:sheetsCustomData xmlns:go="http://customooxmlschemas.google.com/" r:id="rId9" roundtripDataChecksum="nGT0uf8u1IslvLokKgHQwPXkEqoj+e7IhQrjPN5KRUA="/>
    </ext>
  </extLst>
</workbook>
</file>

<file path=xl/sharedStrings.xml><?xml version="1.0" encoding="utf-8"?>
<sst xmlns="http://schemas.openxmlformats.org/spreadsheetml/2006/main" count="99" uniqueCount="21">
  <si>
    <t>Nümunə</t>
  </si>
  <si>
    <t>Year</t>
  </si>
  <si>
    <t>Category</t>
  </si>
  <si>
    <t>Region</t>
  </si>
  <si>
    <t>Revenue</t>
  </si>
  <si>
    <t>Furniture</t>
  </si>
  <si>
    <t>North America</t>
  </si>
  <si>
    <t>South America</t>
  </si>
  <si>
    <t>Office Supplies</t>
  </si>
  <si>
    <t>Asia</t>
  </si>
  <si>
    <t>Technology</t>
  </si>
  <si>
    <t>Europe</t>
  </si>
  <si>
    <t>Australia</t>
  </si>
  <si>
    <t xml:space="preserve">Revenue </t>
  </si>
  <si>
    <t>Max</t>
  </si>
  <si>
    <t>Average</t>
  </si>
  <si>
    <t>Row Labels</t>
  </si>
  <si>
    <t>Sum of Revenue</t>
  </si>
  <si>
    <t>Grand Total</t>
  </si>
  <si>
    <t>Column Labels</t>
  </si>
  <si>
    <t>Change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</si>
</sst>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26.0"/>
      <color theme="0"/>
      <name val="Calibri"/>
    </font>
    <font/>
    <font>
      <b/>
      <sz val="11.0"/>
      <color theme="0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9CC2E5"/>
        <bgColor rgb="FF9CC2E5"/>
      </patternFill>
    </fill>
    <fill>
      <patternFill patternType="solid">
        <fgColor rgb="FFC8C8C8"/>
        <bgColor rgb="FFC8C8C8"/>
      </patternFill>
    </fill>
    <fill>
      <patternFill patternType="solid">
        <fgColor rgb="FFD9E2F3"/>
        <bgColor rgb="FFD9E2F3"/>
      </patternFill>
    </fill>
  </fills>
  <borders count="12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/>
      <right/>
      <top/>
      <bottom style="thin">
        <color rgb="FF8EAADB"/>
      </bottom>
    </border>
    <border>
      <left/>
      <right/>
      <top style="thin">
        <color rgb="FF8EAADB"/>
      </top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Border="1" applyFill="1" applyFont="1"/>
    <xf borderId="0" fillId="0" fontId="4" numFmtId="0" xfId="0" applyFont="1"/>
    <xf borderId="0" fillId="0" fontId="5" numFmtId="0" xfId="0" applyFont="1"/>
    <xf borderId="0" fillId="0" fontId="6" numFmtId="3" xfId="0" applyFont="1" applyNumberFormat="1"/>
    <xf borderId="0" fillId="0" fontId="6" numFmtId="0" xfId="0" applyFont="1"/>
    <xf borderId="0" fillId="0" fontId="6" numFmtId="0" xfId="0" applyAlignment="1" applyFont="1">
      <alignment horizontal="left"/>
    </xf>
    <xf borderId="0" fillId="0" fontId="5" numFmtId="3" xfId="0" applyFont="1" applyNumberFormat="1"/>
    <xf borderId="0" fillId="0" fontId="6" numFmtId="4" xfId="0" applyFont="1" applyNumberFormat="1"/>
    <xf borderId="9" fillId="4" fontId="6" numFmtId="0" xfId="0" applyBorder="1" applyFill="1" applyFont="1"/>
    <xf borderId="10" fillId="5" fontId="4" numFmtId="0" xfId="0" applyBorder="1" applyFill="1" applyFont="1"/>
    <xf borderId="0" fillId="0" fontId="6" numFmtId="10" xfId="0" applyFont="1" applyNumberFormat="1"/>
    <xf borderId="11" fillId="5" fontId="4" numFmtId="0" xfId="0" applyAlignment="1" applyBorder="1" applyFont="1">
      <alignment horizontal="left"/>
    </xf>
    <xf borderId="11" fillId="5" fontId="4" numFmtId="4" xfId="0" applyBorder="1" applyFont="1" applyNumberFormat="1"/>
    <xf borderId="11" fillId="5" fontId="4" numFmtId="9" xfId="0" applyBorder="1" applyFont="1" applyNumberFormat="1"/>
  </cellXfs>
  <cellStyles count="1">
    <cellStyle xfId="0" name="Normal" builtinId="0"/>
  </cellStyles>
  <dxfs count="2">
    <dxf>
      <font>
        <b/>
        <color rgb="FFFF0000"/>
      </font>
      <fill>
        <patternFill patternType="none"/>
      </fill>
      <border/>
    </dxf>
    <dxf>
      <font>
        <b/>
        <color theme="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Sheet1!$B$3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Sheet1!$A$4:$A$8</c:f>
            </c:strRef>
          </c:cat>
          <c:val>
            <c:numRef>
              <c:f>Sheet1!$B$4:$B$8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4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plotArea>
      <c:layout>
        <c:manualLayout>
          <c:xMode val="edge"/>
          <c:yMode val="edge"/>
          <c:x val="0.03218390610408748"/>
          <c:y val="0.17043673774062043"/>
          <c:w val="0.9409961721425063"/>
          <c:h val="0.6178458835325018"/>
        </c:manualLayout>
      </c:layout>
      <c:barChart>
        <c:barDir val="col"/>
        <c:ser>
          <c:idx val="0"/>
          <c:order val="0"/>
          <c:tx>
            <c:v>Revenue 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Sheet1!$D$4:$D$8</c:f>
            </c:strRef>
          </c:cat>
          <c:val>
            <c:numRef>
              <c:f>Sheet1!$E$4:$E$8</c:f>
              <c:numCache/>
            </c:numRef>
          </c:val>
        </c:ser>
        <c:ser>
          <c:idx val="1"/>
          <c:order val="1"/>
          <c:tx>
            <c:v>Max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Sheet1!$D$4:$D$8</c:f>
            </c:strRef>
          </c:cat>
          <c:val>
            <c:numRef>
              <c:f>Sheet1!$F$4:$F$8</c:f>
              <c:numCache/>
            </c:numRef>
          </c:val>
        </c:ser>
        <c:axId val="829536705"/>
        <c:axId val="1951053299"/>
      </c:barChart>
      <c:lineChart>
        <c:varyColors val="0"/>
        <c:ser>
          <c:idx val="2"/>
          <c:order val="2"/>
          <c:tx>
            <c:v>Average</c:v>
          </c:tx>
          <c:spPr>
            <a:ln cmpd="sng" w="28575">
              <a:solidFill>
                <a:schemeClr val="accent3"/>
              </a:solidFill>
              <a:prstDash val="dash"/>
            </a:ln>
          </c:spPr>
          <c:marker>
            <c:symbol val="none"/>
          </c:marker>
          <c:cat>
            <c:strRef>
              <c:f>Sheet1!$D$4:$D$8</c:f>
            </c:strRef>
          </c:cat>
          <c:val>
            <c:numRef>
              <c:f>Sheet1!$G$4:$G$8</c:f>
              <c:numCache/>
            </c:numRef>
          </c:val>
          <c:smooth val="0"/>
        </c:ser>
        <c:axId val="829536705"/>
        <c:axId val="1951053299"/>
      </c:lineChart>
      <c:catAx>
        <c:axId val="829536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51053299"/>
      </c:catAx>
      <c:valAx>
        <c:axId val="19510532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53670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Revenue by Catagory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Sheet1!$A$23:$A$26</c:f>
            </c:strRef>
          </c:cat>
          <c:val>
            <c:numRef>
              <c:f>Sheet1!$B$23:$B$26</c:f>
              <c:numCache/>
            </c:numRef>
          </c:val>
        </c:ser>
        <c:axId val="57869702"/>
        <c:axId val="1309427611"/>
      </c:barChart>
      <c:catAx>
        <c:axId val="57869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9427611"/>
      </c:catAx>
      <c:valAx>
        <c:axId val="13094276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86970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72425" cy="5086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419100</xdr:colOff>
      <xdr:row>1</xdr:row>
      <xdr:rowOff>104775</xdr:rowOff>
    </xdr:from>
    <xdr:ext cx="3419475" cy="3276600"/>
    <xdr:graphicFrame>
      <xdr:nvGraphicFramePr>
        <xdr:cNvPr id="54110217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4600575" cy="2867025"/>
    <xdr:graphicFrame>
      <xdr:nvGraphicFramePr>
        <xdr:cNvPr id="1397682938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476250</xdr:colOff>
      <xdr:row>0</xdr:row>
      <xdr:rowOff>0</xdr:rowOff>
    </xdr:from>
    <xdr:ext cx="3914775" cy="2867025"/>
    <xdr:graphicFrame>
      <xdr:nvGraphicFramePr>
        <xdr:cNvPr id="495440979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Downloads\Slicer-Regional-Dashboard-Draft03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"/>
      <sheetName val="Calculation"/>
      <sheetName val="Final Image"/>
      <sheetName val="Slicer-Regional-Dashboard-Draft"/>
    </sheetNames>
    <sheetDataSet>
      <sheetData sheetId="0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>
      <c r="P4" s="1" t="s">
        <v>0</v>
      </c>
      <c r="Q4" s="2"/>
      <c r="R4" s="2"/>
      <c r="S4" s="2"/>
      <c r="T4" s="2"/>
      <c r="U4" s="3"/>
    </row>
    <row r="5" ht="14.25" customHeight="1">
      <c r="P5" s="4"/>
      <c r="U5" s="5"/>
    </row>
    <row r="6" ht="14.25" customHeight="1">
      <c r="P6" s="4"/>
      <c r="U6" s="5"/>
    </row>
    <row r="7" ht="14.25" customHeight="1">
      <c r="P7" s="4"/>
      <c r="U7" s="5"/>
    </row>
    <row r="8" ht="14.25" customHeight="1">
      <c r="P8" s="4"/>
      <c r="U8" s="5"/>
    </row>
    <row r="9" ht="14.25" customHeight="1">
      <c r="P9" s="4"/>
      <c r="U9" s="5"/>
    </row>
    <row r="10" ht="14.25" customHeight="1">
      <c r="P10" s="4"/>
      <c r="U10" s="5"/>
    </row>
    <row r="11" ht="14.25" customHeight="1">
      <c r="P11" s="4"/>
      <c r="U11" s="5"/>
    </row>
    <row r="12" ht="14.25" customHeight="1">
      <c r="P12" s="6"/>
      <c r="Q12" s="7"/>
      <c r="R12" s="7"/>
      <c r="S12" s="7"/>
      <c r="T12" s="7"/>
      <c r="U12" s="8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P4:U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14"/>
    <col customWidth="1" min="2" max="2" width="16.0"/>
    <col customWidth="1" min="3" max="3" width="13.0"/>
    <col customWidth="1" min="4" max="4" width="14.0"/>
    <col customWidth="1" min="5" max="5" width="8.71"/>
    <col customWidth="1" min="6" max="6" width="11.71"/>
    <col customWidth="1" min="7" max="7" width="13.14"/>
    <col customWidth="1" min="8" max="8" width="13.0"/>
    <col customWidth="1" min="9" max="26" width="8.71"/>
  </cols>
  <sheetData>
    <row r="1" ht="14.25" customHeight="1">
      <c r="A1" s="9" t="s">
        <v>1</v>
      </c>
      <c r="B1" s="9" t="s">
        <v>2</v>
      </c>
      <c r="C1" s="9" t="s">
        <v>3</v>
      </c>
      <c r="D1" s="9" t="s">
        <v>4</v>
      </c>
      <c r="G1" s="10" t="s">
        <v>2</v>
      </c>
      <c r="H1" s="10" t="s">
        <v>3</v>
      </c>
    </row>
    <row r="2" ht="14.25" customHeight="1">
      <c r="A2" s="11">
        <v>2019.0</v>
      </c>
      <c r="B2" s="11" t="s">
        <v>5</v>
      </c>
      <c r="C2" s="11" t="s">
        <v>6</v>
      </c>
      <c r="D2" s="12">
        <v>40000.0</v>
      </c>
      <c r="G2" s="11" t="s">
        <v>5</v>
      </c>
      <c r="H2" s="11" t="s">
        <v>6</v>
      </c>
    </row>
    <row r="3" ht="14.25" customHeight="1">
      <c r="A3" s="11">
        <v>2019.0</v>
      </c>
      <c r="B3" s="11" t="s">
        <v>5</v>
      </c>
      <c r="C3" s="11" t="s">
        <v>7</v>
      </c>
      <c r="D3" s="12">
        <v>20898.0</v>
      </c>
      <c r="G3" s="11" t="s">
        <v>8</v>
      </c>
      <c r="H3" s="11" t="s">
        <v>7</v>
      </c>
    </row>
    <row r="4" ht="14.25" customHeight="1">
      <c r="A4" s="11">
        <v>2019.0</v>
      </c>
      <c r="B4" s="11" t="s">
        <v>5</v>
      </c>
      <c r="C4" s="11" t="s">
        <v>9</v>
      </c>
      <c r="D4" s="12">
        <v>46994.0</v>
      </c>
      <c r="G4" s="11" t="s">
        <v>10</v>
      </c>
      <c r="H4" s="11" t="s">
        <v>9</v>
      </c>
    </row>
    <row r="5" ht="14.25" customHeight="1">
      <c r="A5" s="11">
        <v>2019.0</v>
      </c>
      <c r="B5" s="11" t="s">
        <v>5</v>
      </c>
      <c r="C5" s="11" t="s">
        <v>11</v>
      </c>
      <c r="D5" s="12">
        <v>43695.0</v>
      </c>
      <c r="H5" s="11" t="s">
        <v>11</v>
      </c>
    </row>
    <row r="6" ht="14.25" customHeight="1">
      <c r="A6" s="11">
        <v>2019.0</v>
      </c>
      <c r="B6" s="11" t="s">
        <v>5</v>
      </c>
      <c r="C6" s="11" t="s">
        <v>12</v>
      </c>
      <c r="D6" s="12">
        <v>34196.0</v>
      </c>
      <c r="H6" s="11" t="s">
        <v>12</v>
      </c>
    </row>
    <row r="7" ht="14.25" customHeight="1">
      <c r="A7" s="11">
        <v>2019.0</v>
      </c>
      <c r="B7" s="11" t="s">
        <v>8</v>
      </c>
      <c r="C7" s="11" t="s">
        <v>6</v>
      </c>
      <c r="D7" s="12">
        <v>34155.0</v>
      </c>
    </row>
    <row r="8" ht="14.25" customHeight="1">
      <c r="A8" s="11">
        <v>2019.0</v>
      </c>
      <c r="B8" s="11" t="s">
        <v>8</v>
      </c>
      <c r="C8" s="11" t="s">
        <v>7</v>
      </c>
      <c r="D8" s="12">
        <v>24396.0</v>
      </c>
    </row>
    <row r="9" ht="14.25" customHeight="1">
      <c r="A9" s="11">
        <v>2019.0</v>
      </c>
      <c r="B9" s="11" t="s">
        <v>8</v>
      </c>
      <c r="C9" s="11" t="s">
        <v>9</v>
      </c>
      <c r="D9" s="12">
        <v>29276.0</v>
      </c>
    </row>
    <row r="10" ht="14.25" customHeight="1">
      <c r="A10" s="11">
        <v>2019.0</v>
      </c>
      <c r="B10" s="11" t="s">
        <v>8</v>
      </c>
      <c r="C10" s="11" t="s">
        <v>11</v>
      </c>
      <c r="D10" s="12">
        <v>45540.0</v>
      </c>
    </row>
    <row r="11" ht="14.25" customHeight="1">
      <c r="A11" s="11">
        <v>2019.0</v>
      </c>
      <c r="B11" s="11" t="s">
        <v>8</v>
      </c>
      <c r="C11" s="11" t="s">
        <v>12</v>
      </c>
      <c r="D11" s="12">
        <v>29277.0</v>
      </c>
    </row>
    <row r="12" ht="14.25" customHeight="1">
      <c r="A12" s="11">
        <v>2019.0</v>
      </c>
      <c r="B12" s="11" t="s">
        <v>10</v>
      </c>
      <c r="C12" s="11" t="s">
        <v>6</v>
      </c>
      <c r="D12" s="12">
        <v>44675.0</v>
      </c>
    </row>
    <row r="13" ht="14.25" customHeight="1">
      <c r="A13" s="11">
        <v>2019.0</v>
      </c>
      <c r="B13" s="11" t="s">
        <v>10</v>
      </c>
      <c r="C13" s="11" t="s">
        <v>7</v>
      </c>
      <c r="D13" s="12">
        <v>42569.0</v>
      </c>
    </row>
    <row r="14" ht="14.25" customHeight="1">
      <c r="A14" s="11">
        <v>2019.0</v>
      </c>
      <c r="B14" s="11" t="s">
        <v>10</v>
      </c>
      <c r="C14" s="11" t="s">
        <v>9</v>
      </c>
      <c r="D14" s="12">
        <v>43784.0</v>
      </c>
    </row>
    <row r="15" ht="14.25" customHeight="1">
      <c r="A15" s="11">
        <v>2019.0</v>
      </c>
      <c r="B15" s="11" t="s">
        <v>10</v>
      </c>
      <c r="C15" s="11" t="s">
        <v>11</v>
      </c>
      <c r="D15" s="12">
        <v>46336.0</v>
      </c>
    </row>
    <row r="16" ht="14.25" customHeight="1">
      <c r="A16" s="11">
        <v>2019.0</v>
      </c>
      <c r="B16" s="11" t="s">
        <v>10</v>
      </c>
      <c r="C16" s="11" t="s">
        <v>12</v>
      </c>
      <c r="D16" s="12">
        <v>49656.0</v>
      </c>
    </row>
    <row r="17" ht="14.25" customHeight="1">
      <c r="A17" s="11">
        <v>2020.0</v>
      </c>
      <c r="B17" s="11" t="s">
        <v>5</v>
      </c>
      <c r="C17" s="11" t="s">
        <v>6</v>
      </c>
      <c r="D17" s="12">
        <v>24325.0</v>
      </c>
    </row>
    <row r="18" ht="14.25" customHeight="1">
      <c r="A18" s="11">
        <v>2020.0</v>
      </c>
      <c r="B18" s="11" t="s">
        <v>5</v>
      </c>
      <c r="C18" s="11" t="s">
        <v>7</v>
      </c>
      <c r="D18" s="12">
        <v>33681.0</v>
      </c>
    </row>
    <row r="19" ht="14.25" customHeight="1">
      <c r="A19" s="11">
        <v>2020.0</v>
      </c>
      <c r="B19" s="11" t="s">
        <v>5</v>
      </c>
      <c r="C19" s="11" t="s">
        <v>9</v>
      </c>
      <c r="D19" s="12">
        <v>39295.0</v>
      </c>
    </row>
    <row r="20" ht="14.25" customHeight="1">
      <c r="A20" s="11">
        <v>2020.0</v>
      </c>
      <c r="B20" s="11" t="s">
        <v>5</v>
      </c>
      <c r="C20" s="11" t="s">
        <v>11</v>
      </c>
      <c r="D20" s="12">
        <v>59878.0</v>
      </c>
    </row>
    <row r="21" ht="14.25" customHeight="1">
      <c r="A21" s="11">
        <v>2020.0</v>
      </c>
      <c r="B21" s="11" t="s">
        <v>5</v>
      </c>
      <c r="C21" s="11" t="s">
        <v>12</v>
      </c>
      <c r="D21" s="12">
        <v>29938.0</v>
      </c>
    </row>
    <row r="22" ht="14.25" customHeight="1">
      <c r="A22" s="11">
        <v>2020.0</v>
      </c>
      <c r="B22" s="11" t="s">
        <v>8</v>
      </c>
      <c r="C22" s="11" t="s">
        <v>6</v>
      </c>
      <c r="D22" s="12">
        <v>52311.0</v>
      </c>
    </row>
    <row r="23" ht="14.25" customHeight="1">
      <c r="A23" s="11">
        <v>2020.0</v>
      </c>
      <c r="B23" s="11" t="s">
        <v>8</v>
      </c>
      <c r="C23" s="11" t="s">
        <v>7</v>
      </c>
      <c r="D23" s="12">
        <v>31955.0</v>
      </c>
    </row>
    <row r="24" ht="14.25" customHeight="1">
      <c r="A24" s="11">
        <v>2020.0</v>
      </c>
      <c r="B24" s="11" t="s">
        <v>8</v>
      </c>
      <c r="C24" s="11" t="s">
        <v>9</v>
      </c>
      <c r="D24" s="12">
        <v>31955.0</v>
      </c>
    </row>
    <row r="25" ht="14.25" customHeight="1">
      <c r="A25" s="11">
        <v>2020.0</v>
      </c>
      <c r="B25" s="11" t="s">
        <v>8</v>
      </c>
      <c r="C25" s="11" t="s">
        <v>11</v>
      </c>
      <c r="D25" s="12">
        <v>31955.0</v>
      </c>
    </row>
    <row r="26" ht="14.25" customHeight="1">
      <c r="A26" s="11">
        <v>2020.0</v>
      </c>
      <c r="B26" s="11" t="s">
        <v>8</v>
      </c>
      <c r="C26" s="11" t="s">
        <v>12</v>
      </c>
      <c r="D26" s="12">
        <v>11598.0</v>
      </c>
    </row>
    <row r="27" ht="14.25" customHeight="1">
      <c r="A27" s="11">
        <v>2020.0</v>
      </c>
      <c r="B27" s="11" t="s">
        <v>10</v>
      </c>
      <c r="C27" s="11" t="s">
        <v>6</v>
      </c>
      <c r="D27" s="12">
        <v>53963.0</v>
      </c>
    </row>
    <row r="28" ht="14.25" customHeight="1">
      <c r="A28" s="11">
        <v>2020.0</v>
      </c>
      <c r="B28" s="11" t="s">
        <v>10</v>
      </c>
      <c r="C28" s="11" t="s">
        <v>7</v>
      </c>
      <c r="D28" s="12">
        <v>65965.0</v>
      </c>
    </row>
    <row r="29" ht="14.25" customHeight="1">
      <c r="A29" s="11">
        <v>2020.0</v>
      </c>
      <c r="B29" s="11" t="s">
        <v>10</v>
      </c>
      <c r="C29" s="11" t="s">
        <v>9</v>
      </c>
      <c r="D29" s="12">
        <v>19989.0</v>
      </c>
    </row>
    <row r="30" ht="14.25" customHeight="1">
      <c r="A30" s="11">
        <v>2020.0</v>
      </c>
      <c r="B30" s="11" t="s">
        <v>10</v>
      </c>
      <c r="C30" s="11" t="s">
        <v>11</v>
      </c>
      <c r="D30" s="12">
        <v>39979.0</v>
      </c>
    </row>
    <row r="31" ht="14.25" customHeight="1">
      <c r="A31" s="11">
        <v>2020.0</v>
      </c>
      <c r="B31" s="11" t="s">
        <v>10</v>
      </c>
      <c r="C31" s="11" t="s">
        <v>12</v>
      </c>
      <c r="D31" s="12">
        <v>19998.0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5.86"/>
    <col customWidth="1" min="3" max="3" width="16.14"/>
    <col customWidth="1" min="4" max="4" width="10.71"/>
    <col customWidth="1" min="5" max="5" width="10.0"/>
    <col customWidth="1" min="6" max="6" width="8.71"/>
    <col customWidth="1" min="7" max="7" width="10.14"/>
    <col customWidth="1" min="8" max="26" width="8.71"/>
  </cols>
  <sheetData>
    <row r="1" ht="14.25" customHeight="1"/>
    <row r="2" ht="14.25" customHeight="1"/>
    <row r="3" ht="14.25" customHeight="1">
      <c r="A3" s="13" t="s">
        <v>3</v>
      </c>
      <c r="B3" s="11" t="s">
        <v>13</v>
      </c>
      <c r="D3" s="11" t="str">
        <f t="shared" ref="D3:E3" si="1">A3</f>
        <v>Region</v>
      </c>
      <c r="E3" s="11" t="str">
        <f t="shared" si="1"/>
        <v>Revenue </v>
      </c>
      <c r="F3" s="11" t="s">
        <v>14</v>
      </c>
      <c r="G3" s="11" t="s">
        <v>15</v>
      </c>
    </row>
    <row r="4" ht="14.25" customHeight="1">
      <c r="A4" s="14" t="s">
        <v>9</v>
      </c>
      <c r="B4" s="13">
        <v>19989.0</v>
      </c>
      <c r="D4" s="11" t="str">
        <f t="shared" ref="D4:E4" si="2">A4</f>
        <v>Asia</v>
      </c>
      <c r="E4" s="12">
        <f t="shared" si="2"/>
        <v>19989</v>
      </c>
      <c r="F4" s="11">
        <f t="shared" ref="F4:F8" si="4">IF(MAX($E$4:$E$8)=E4,E4,0)</f>
        <v>0</v>
      </c>
      <c r="G4" s="15">
        <f t="shared" ref="G4:G8" si="5">AVERAGE($E$4:$E$8)</f>
        <v>39978.8</v>
      </c>
    </row>
    <row r="5" ht="14.25" customHeight="1">
      <c r="A5" s="14" t="s">
        <v>12</v>
      </c>
      <c r="B5" s="13">
        <v>19998.0</v>
      </c>
      <c r="D5" s="11" t="str">
        <f t="shared" ref="D5:E5" si="3">A5</f>
        <v>Australia</v>
      </c>
      <c r="E5" s="12">
        <f t="shared" si="3"/>
        <v>19998</v>
      </c>
      <c r="F5" s="11">
        <f t="shared" si="4"/>
        <v>0</v>
      </c>
      <c r="G5" s="15">
        <f t="shared" si="5"/>
        <v>39978.8</v>
      </c>
    </row>
    <row r="6" ht="14.25" customHeight="1">
      <c r="A6" s="14" t="s">
        <v>11</v>
      </c>
      <c r="B6" s="13">
        <v>39979.0</v>
      </c>
      <c r="D6" s="11" t="str">
        <f t="shared" ref="D6:E6" si="6">A6</f>
        <v>Europe</v>
      </c>
      <c r="E6" s="12">
        <f t="shared" si="6"/>
        <v>39979</v>
      </c>
      <c r="F6" s="11">
        <f t="shared" si="4"/>
        <v>0</v>
      </c>
      <c r="G6" s="15">
        <f t="shared" si="5"/>
        <v>39978.8</v>
      </c>
    </row>
    <row r="7" ht="14.25" customHeight="1">
      <c r="A7" s="14" t="s">
        <v>6</v>
      </c>
      <c r="B7" s="13">
        <v>53963.0</v>
      </c>
      <c r="D7" s="11" t="str">
        <f t="shared" ref="D7:E7" si="7">A7</f>
        <v>North America</v>
      </c>
      <c r="E7" s="12">
        <f t="shared" si="7"/>
        <v>53963</v>
      </c>
      <c r="F7" s="11">
        <f t="shared" si="4"/>
        <v>0</v>
      </c>
      <c r="G7" s="15">
        <f t="shared" si="5"/>
        <v>39978.8</v>
      </c>
    </row>
    <row r="8" ht="14.25" customHeight="1">
      <c r="A8" s="14" t="s">
        <v>7</v>
      </c>
      <c r="B8" s="13">
        <v>65965.0</v>
      </c>
      <c r="D8" s="11" t="str">
        <f t="shared" ref="D8:E8" si="8">A8</f>
        <v>South America</v>
      </c>
      <c r="E8" s="12">
        <f t="shared" si="8"/>
        <v>65965</v>
      </c>
      <c r="F8" s="15">
        <f t="shared" si="4"/>
        <v>65965</v>
      </c>
      <c r="G8" s="15">
        <f t="shared" si="5"/>
        <v>39978.8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A22" s="13" t="s">
        <v>16</v>
      </c>
      <c r="B22" s="11" t="s">
        <v>17</v>
      </c>
    </row>
    <row r="23" ht="14.25" customHeight="1">
      <c r="A23" s="14" t="s">
        <v>5</v>
      </c>
      <c r="B23" s="16">
        <v>187117.0</v>
      </c>
    </row>
    <row r="24" ht="14.25" customHeight="1">
      <c r="A24" s="14" t="s">
        <v>8</v>
      </c>
      <c r="B24" s="16">
        <v>159774.0</v>
      </c>
    </row>
    <row r="25" ht="14.25" customHeight="1">
      <c r="A25" s="14" t="s">
        <v>10</v>
      </c>
      <c r="B25" s="16">
        <v>199894.0</v>
      </c>
    </row>
    <row r="26" ht="14.25" customHeight="1">
      <c r="A26" s="14" t="s">
        <v>18</v>
      </c>
      <c r="B26" s="16">
        <v>546785.0</v>
      </c>
    </row>
    <row r="27" ht="14.25" customHeight="1"/>
    <row r="28" ht="14.25" customHeight="1"/>
    <row r="29" ht="14.25" customHeight="1">
      <c r="A29" s="13" t="s">
        <v>17</v>
      </c>
      <c r="B29" s="13" t="s">
        <v>19</v>
      </c>
    </row>
    <row r="30" ht="14.25" customHeight="1">
      <c r="A30" s="13" t="s">
        <v>16</v>
      </c>
      <c r="B30" s="11">
        <v>2019.0</v>
      </c>
      <c r="C30" s="11">
        <v>2020.0</v>
      </c>
    </row>
    <row r="31" ht="14.25" customHeight="1">
      <c r="A31" s="14" t="s">
        <v>5</v>
      </c>
      <c r="B31" s="16">
        <v>151587.0</v>
      </c>
      <c r="C31" s="16">
        <v>157179.0</v>
      </c>
    </row>
    <row r="32" ht="14.25" customHeight="1">
      <c r="A32" s="14" t="s">
        <v>8</v>
      </c>
      <c r="B32" s="16">
        <v>133367.0</v>
      </c>
      <c r="C32" s="16">
        <v>148176.0</v>
      </c>
    </row>
    <row r="33" ht="14.25" customHeight="1">
      <c r="A33" s="14" t="s">
        <v>10</v>
      </c>
      <c r="B33" s="16">
        <v>177364.0</v>
      </c>
      <c r="C33" s="16">
        <v>179896.0</v>
      </c>
    </row>
    <row r="34" ht="14.25" customHeight="1">
      <c r="A34" s="14" t="s">
        <v>18</v>
      </c>
      <c r="B34" s="16">
        <v>462318.0</v>
      </c>
      <c r="C34" s="16">
        <v>485251.0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8.86"/>
    <col customWidth="1" min="8" max="9" width="10.14"/>
    <col customWidth="1" min="10" max="15" width="8.86"/>
    <col customWidth="1" min="16" max="17" width="10.86"/>
    <col customWidth="1" min="18" max="18" width="8.86"/>
    <col customWidth="1" min="19" max="26" width="8.71"/>
  </cols>
  <sheetData>
    <row r="1" ht="14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4.2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4.25" customHeight="1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4.25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4.25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4.25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4.25" customHeight="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4.2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 t="s">
        <v>2</v>
      </c>
      <c r="P19" s="18">
        <f>Sheet1!B30</f>
        <v>2019</v>
      </c>
      <c r="Q19" s="18">
        <f>Sheet1!C30</f>
        <v>2020</v>
      </c>
      <c r="R19" s="18" t="s">
        <v>20</v>
      </c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4" t="str">
        <f>Sheet1!A31</f>
        <v>Furniture</v>
      </c>
      <c r="P20" s="16">
        <f>Sheet1!B31</f>
        <v>151587</v>
      </c>
      <c r="Q20" s="16">
        <f>Sheet1!C31</f>
        <v>157179</v>
      </c>
      <c r="R20" s="19">
        <f t="shared" ref="R20:R23" si="1">(Q20-P20)/P20</f>
        <v>0.0368897069</v>
      </c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4" t="str">
        <f>Sheet1!A32</f>
        <v>Office Supplies</v>
      </c>
      <c r="P21" s="16">
        <f>Sheet1!B32</f>
        <v>133367</v>
      </c>
      <c r="Q21" s="16">
        <f>Sheet1!C32</f>
        <v>148176</v>
      </c>
      <c r="R21" s="19">
        <f t="shared" si="1"/>
        <v>0.1110394625</v>
      </c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4" t="str">
        <f>Sheet1!A33</f>
        <v>Technology</v>
      </c>
      <c r="P22" s="16">
        <f>Sheet1!B33</f>
        <v>177364</v>
      </c>
      <c r="Q22" s="16">
        <f>Sheet1!C33</f>
        <v>179896</v>
      </c>
      <c r="R22" s="19">
        <f t="shared" si="1"/>
        <v>0.01427572675</v>
      </c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0" t="str">
        <f>Sheet1!A34</f>
        <v>Grand Total</v>
      </c>
      <c r="P23" s="21">
        <f>Sheet1!B34</f>
        <v>462318</v>
      </c>
      <c r="Q23" s="21">
        <f>Sheet1!C34</f>
        <v>485251</v>
      </c>
      <c r="R23" s="22">
        <f t="shared" si="1"/>
        <v>0.04960438486</v>
      </c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4.2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4.2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4.2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4.2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4.2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4.2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4.2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4.2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4.2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4.2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4.2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4.2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4.2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4.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4.2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4.2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4.2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4.2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4.2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4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4.2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4.2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4.2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4.2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4.2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4.2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4.2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4.2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4.2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4.2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4.2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4.2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4.2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4.2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4.2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4.2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4.2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4.2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4.2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4.2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4.2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4.2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4.2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4.2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4.2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4.2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4.2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4.2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4.2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4.2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4.2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4.2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4.2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4.2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4.2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4.2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4.2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4.2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4.2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4.2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4.2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4.2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4.2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4.2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4.2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4.2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4.2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4.2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4.2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4.2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4.2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4.2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4.2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4.2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4.2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4.2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4.2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4.2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4.2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4.2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4.2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4.2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4.2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4.2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4.2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4.2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4.2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4.2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4.2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4.2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4.2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4.2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4.2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4.2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4.2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4.2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4.2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4.2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4.2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4.2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4.2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4.2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4.2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4.2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4.2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4.2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4.2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4.2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4.2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4.2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4.2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4.2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4.2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4.2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4.2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4.2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4.2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4.2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4.2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4.2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4.2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4.2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4.2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4.2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4.2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4.2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4.2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4.2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4.2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4.2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4.2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4.2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4.2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4.2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4.2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4.2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4.2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4.2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R20:R23">
    <cfRule type="expression" dxfId="0" priority="1">
      <formula>$R20&lt;0</formula>
    </cfRule>
  </conditionalFormatting>
  <conditionalFormatting sqref="R20:R23">
    <cfRule type="expression" dxfId="1" priority="2">
      <formula>$R$20&gt;0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2018-05-20T09:25:22Z</dcterms:created>
  <dc:creator>Ahmad</dc:creator>
</cp:coreProperties>
</file>